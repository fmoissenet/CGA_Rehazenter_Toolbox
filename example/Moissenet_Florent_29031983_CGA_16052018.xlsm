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CGA_Rehazenter_Toolbox\example\"/>
    </mc:Choice>
  </mc:AlternateContent>
  <bookViews>
    <workbookView xWindow="393204" yWindow="0" windowWidth="22104" windowHeight="9396" tabRatio="966" activeTab="7"/>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Print_Area" localSheetId="1">'Compte-rendu'!$A$1:$H$30</definedName>
    <definedName name="Print_Area" localSheetId="3">'Evidence (0)'!$A$1:$H$53</definedName>
    <definedName name="Print_Area" localSheetId="4">'Evidence (1)'!$A$1:$H$53</definedName>
    <definedName name="Print_Area" localSheetId="5">'Evidence (2)'!$A$1:$H$53</definedName>
    <definedName name="Print_Area" localSheetId="7">'Examen (0)'!$A$1:$K$97</definedName>
    <definedName name="Print_Area" localSheetId="8">'Examen (1)'!$A$1:$I$49</definedName>
    <definedName name="Print_Area" localSheetId="9">'Examen (2)'!$A$1:$I$49</definedName>
    <definedName name="Print_Area" localSheetId="10">'Examen (3)'!$A$1:$I$49</definedName>
    <definedName name="Print_Area" localSheetId="6">Légendes!$A$1:$H$41</definedName>
    <definedName name="Print_Area" localSheetId="2">'Observations et Qualité'!$A$1:$H$27</definedName>
    <definedName name="Sensibilte">listes!$D$2:$D$4</definedName>
    <definedName name="Systeme">listes!$L$2:$L$3</definedName>
    <definedName name="Terrain_de_marche">listes!$G$2:$G$3</definedName>
    <definedName name="Type_accident">listes!$R$2:$R$4</definedName>
    <definedName name="Type_pathologie">listes!$Q$2:$Q$4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<sst xmlns="http://schemas.openxmlformats.org/spreadsheetml/2006/main" count="1039" uniqueCount="526">
  <si>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</si>
  <si>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</si>
  <si>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</si>
  <si>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</si>
  <si>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</si>
  <si>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</si>
  <si>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</si>
  <si>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</si>
  <si>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</si>
  <si>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</si>
  <si>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</si>
  <si>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</si>
  <si>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</si>
  <si>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</si>
  <si>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</si>
  <si>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</si>
  <si>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</si>
  <si>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</si>
  <si>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</si>
  <si>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</si>
  <si>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</si>
  <si>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</si>
  <si>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</si>
  <si>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</si>
  <si>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</si>
  <si>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</si>
  <si>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</si>
  <si>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</si>
  <si>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</si>
  <si>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</si>
  <si>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</si>
  <si>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</si>
  <si>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</si>
  <si>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</si>
  <si>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</si>
  <si>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</si>
  <si>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</si>
  <si>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</si>
  <si>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</si>
  <si>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</si>
  <si>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</si>
  <si>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</si>
  <si>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</si>
  <si>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</si>
  <si>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</si>
  <si>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</si>
  <si>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</si>
  <si>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</si>
  <si>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</si>
  <si>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</si>
  <si>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</si>
  <si>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</si>
  <si>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</si>
  <si>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</si>
  <si>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</si>
  <si>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</si>
  <si>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</si>
  <si>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</si>
  <si>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</si>
  <si>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</si>
  <si>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</si>
  <si>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</si>
  <si>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</si>
  <si>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</si>
  <si>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</si>
  <si>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</si>
  <si>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</si>
  <si>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</si>
  <si>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</si>
  <si>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</si>
  <si>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</si>
  <si>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</si>
  <si>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</si>
  <si>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</si>
  <si>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</si>
  <si>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</si>
  <si>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</si>
  <si>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</si>
  <si>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</si>
  <si>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</si>
  <si>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</si>
  <si>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</si>
  <si>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</si>
  <si>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</si>
  <si>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</si>
  <si>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</si>
  <si>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</si>
  <si>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</si>
  <si>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</si>
  <si>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</si>
  <si>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</si>
  <si>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</si>
  <si>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</si>
  <si>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</si>
  <si>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</si>
  <si>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</si>
  <si>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</si>
  <si>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</si>
  <si>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</si>
  <si>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</si>
  <si>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</si>
  <si>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</si>
  <si>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</si>
  <si>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</si>
  <si>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</si>
  <si>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</si>
  <si>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</si>
  <si>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</si>
  <si>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</si>
  <si>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</si>
  <si>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</si>
  <si>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</si>
  <si>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</si>
  <si>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</si>
  <si>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</si>
  <si>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</si>
  <si>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</si>
  <si>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</si>
  <si>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</si>
  <si>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</si>
  <si>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</si>
  <si>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</si>
  <si>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</si>
  <si>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</si>
  <si>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</si>
  <si>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</si>
  <si>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</si>
  <si>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</si>
  <si>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</si>
  <si>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</si>
  <si>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</si>
  <si>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</si>
  <si>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</si>
  <si>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</si>
  <si>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</si>
  <si>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</si>
  <si>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</si>
  <si>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</si>
  <si>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</si>
  <si>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</si>
  <si>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</si>
  <si>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</si>
  <si>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</si>
  <si>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</si>
  <si>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</si>
  <si>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</si>
  <si>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</si>
  <si>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</si>
  <si>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</si>
  <si>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</si>
  <si>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</si>
  <si>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</si>
  <si>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</si>
  <si>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</si>
  <si>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</si>
  <si>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</si>
  <si>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</si>
  <si>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</si>
  <si>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</si>
  <si>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</si>
  <si>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</si>
  <si>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</si>
  <si>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</si>
  <si>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</si>
  <si>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</si>
  <si>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</si>
  <si>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</si>
  <si>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</si>
  <si>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</si>
  <si>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</si>
  <si>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</si>
  <si>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</si>
  <si>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</si>
  <si>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</si>
  <si>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</si>
  <si>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</si>
  <si>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</si>
  <si>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</si>
  <si>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</si>
  <si>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</si>
  <si>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</si>
  <si>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</si>
  <si>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</si>
  <si>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</si>
  <si>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</si>
  <si>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</si>
  <si>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</si>
  <si>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</si>
  <si>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</si>
  <si>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</si>
  <si>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</si>
  <si>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</si>
  <si>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</si>
  <si>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</si>
  <si>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</si>
  <si>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</si>
  <si>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</si>
  <si>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</si>
  <si>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</si>
  <si>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</si>
  <si>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</si>
  <si>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</si>
  <si>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</si>
  <si>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</si>
  <si>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</si>
  <si>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</si>
  <si>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</si>
  <si>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</si>
  <si>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</si>
  <si>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</si>
  <si>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</si>
  <si>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</si>
  <si>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</si>
  <si>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</si>
  <si>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</si>
  <si>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</si>
  <si>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</si>
  <si>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</si>
  <si>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</si>
  <si>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</si>
  <si>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</si>
  <si>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</si>
  <si>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</si>
  <si>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</si>
  <si>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</si>
  <si>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</si>
  <si>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</si>
  <si>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</si>
  <si>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</si>
  <si>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</si>
  <si>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</si>
  <si>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</si>
  <si>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</si>
  <si>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</si>
  <si>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</si>
  <si>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</si>
  <si>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</si>
  <si>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</si>
  <si>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</si>
  <si>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</si>
  <si>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</si>
  <si>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</si>
  <si>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</si>
  <si>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</si>
  <si>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</si>
  <si>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</si>
  <si>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</si>
  <si>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</si>
  <si>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</si>
  <si>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</si>
  <si>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</si>
  <si>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</si>
  <si>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</si>
  <si>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</si>
  <si>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</si>
  <si>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</si>
  <si>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</si>
  <si>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</si>
  <si>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</si>
  <si>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</si>
  <si>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</si>
  <si>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</si>
  <si>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</si>
  <si>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</si>
  <si>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</si>
  <si>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</si>
  <si>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</si>
  <si>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</si>
  <si>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</si>
  <si>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</si>
  <si>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</si>
  <si>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</si>
  <si>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</si>
  <si>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</si>
  <si>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</si>
  <si>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</si>
  <si>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</si>
  <si>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</si>
  <si>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</si>
  <si>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</si>
  <si>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</si>
  <si>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</si>
  <si>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</si>
  <si>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</si>
  <si>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</si>
  <si>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</si>
  <si>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</si>
  <si>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</si>
  <si>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</si>
  <si>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</si>
  <si>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</si>
  <si>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</si>
  <si>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</si>
  <si>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</si>
  <si>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</si>
  <si>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</si>
  <si>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</si>
  <si>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</si>
  <si>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</si>
  <si>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</si>
  <si>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</si>
  <si>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</si>
  <si>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</si>
  <si>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</si>
  <si>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</si>
  <si>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</si>
  <si>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</si>
  <si>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</si>
  <si>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</si>
  <si>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</si>
  <si>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</si>
  <si>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</si>
  <si>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</si>
  <si>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</si>
  <si>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</si>
  <si>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</si>
  <si>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</si>
  <si>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</si>
  <si>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</si>
  <si>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</si>
  <si>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</si>
  <si>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</si>
  <si>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</si>
  <si>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</si>
  <si>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</si>
  <si>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</si>
  <si>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</si>
  <si>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</si>
  <si>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</si>
  <si>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</si>
  <si>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</si>
  <si>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</si>
  <si>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</si>
  <si>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</si>
  <si>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</si>
  <si>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</si>
  <si>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</si>
  <si>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</si>
  <si>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</si>
  <si>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</si>
  <si>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</si>
  <si>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</si>
  <si>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</si>
  <si>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</si>
  <si>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</si>
  <si>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</si>
  <si>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</si>
  <si>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</si>
  <si>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</si>
  <si>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</si>
  <si>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</si>
  <si>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</si>
  <si>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</si>
  <si>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</si>
  <si>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</si>
  <si>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</si>
  <si>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</si>
  <si>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</si>
  <si>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</si>
  <si>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</si>
  <si>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</si>
  <si>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</si>
  <si>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</si>
  <si>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</si>
  <si>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</si>
  <si>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</si>
  <si>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</si>
  <si>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</si>
  <si>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</si>
  <si>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</si>
  <si>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</si>
  <si>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</si>
  <si>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</si>
  <si>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</si>
  <si>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</si>
  <si>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</si>
  <si>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</si>
  <si>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</si>
  <si>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</si>
  <si>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</si>
  <si>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</si>
  <si>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</si>
  <si>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</si>
  <si>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</si>
  <si>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</si>
  <si>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</si>
  <si>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</si>
  <si>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</si>
  <si>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</si>
  <si>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</si>
  <si>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</si>
  <si>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</si>
  <si>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</si>
  <si>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</si>
  <si>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</si>
  <si>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</si>
  <si>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</si>
  <si>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</si>
  <si>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</si>
  <si>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</si>
  <si>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</si>
  <si>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</si>
  <si>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</si>
  <si>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</si>
  <si>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</si>
  <si>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</si>
  <si>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</si>
  <si>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</si>
  <si>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</si>
  <si>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</si>
  <si>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</si>
  <si>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</si>
  <si>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</si>
  <si>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</si>
  <si>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Moissenet</t>
  </si>
  <si>
    <t>Florent</t>
  </si>
  <si>
    <t>test traitement 1</t>
  </si>
  <si>
    <t>test traitement 5</t>
  </si>
  <si>
    <t>Test fiche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</si>
  <si>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</si>
  <si>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</si>
  <si>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</si>
  <si>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</si>
  <si>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</si>
  <si>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</si>
  <si>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</si>
  <si>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</si>
  <si>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</si>
  <si>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</si>
  <si>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</si>
  <si>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</si>
  <si>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</si>
  <si>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</si>
  <si>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</si>
  <si>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</si>
  <si>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</si>
  <si>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</si>
  <si>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</si>
  <si>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</si>
  <si>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</si>
  <si>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</si>
  <si>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</si>
  <si>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</si>
  <si>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</si>
  <si>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</si>
  <si>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</si>
  <si>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</si>
  <si>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</si>
  <si>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</si>
  <si>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</si>
  <si>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</si>
  <si>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</si>
  <si>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</si>
  <si>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</si>
  <si>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</si>
  <si>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</si>
  <si>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</si>
  <si>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</si>
  <si>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</si>
  <si>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</si>
  <si>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</si>
  <si>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</si>
  <si>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</si>
  <si>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</si>
  <si>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</si>
  <si>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</si>
  <si>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</si>
  <si>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</si>
  <si>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</si>
  <si>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</si>
  <si>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</si>
  <si>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</si>
  <si>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</si>
  <si>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</si>
  <si>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X</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</si>
  <si>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</si>
  <si>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</si>
  <si>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</si>
  <si>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</si>
  <si>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</si>
  <si>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</si>
  <si>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</si>
  <si>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</si>
  <si>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</si>
  <si>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</si>
  <si>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</si>
  <si>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</si>
  <si>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</si>
  <si>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</si>
  <si>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</si>
  <si>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</si>
  <si>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</si>
  <si>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</si>
  <si>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</si>
  <si>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</si>
  <si>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</si>
  <si>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</si>
  <si>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</si>
  <si>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</si>
  <si>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</si>
  <si>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</si>
  <si>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</si>
  <si>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</si>
  <si>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</si>
  <si>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</si>
  <si>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</si>
  <si>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</si>
  <si>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</si>
  <si>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</si>
  <si>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</si>
  <si>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</si>
  <si>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</si>
  <si>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</si>
  <si>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</si>
  <si>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</si>
  <si>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</si>
  <si>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</si>
  <si>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</si>
  <si>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</si>
  <si>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</si>
  <si>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static06</t>
  </si>
  <si>
    <t>static07</t>
  </si>
  <si>
    <t>static08</t>
  </si>
  <si>
    <t>static09</t>
  </si>
  <si>
    <t>static10</t>
  </si>
  <si>
    <t>Vidéo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</si>
</sst>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4" fillId="0" borderId="1" xfId="0" applyFont="1" applyBorder="1" applyAlignment="1" applyProtection="1">
      <alignment horizontal="left"/>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9" xfId="0" applyFont="1" applyBorder="1" applyAlignment="1" applyProtection="1">
      <alignment horizontal="left" vertical="top"/>
      <protection locked="0"/>
    </xf>
    <xf numFmtId="0" fontId="2" fillId="0" borderId="10" xfId="0" applyFont="1" applyBorder="1" applyAlignment="1" applyProtection="1">
      <alignment horizontal="left" vertical="top"/>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2" fillId="0" borderId="16" xfId="0" applyFont="1" applyBorder="1" applyAlignment="1" applyProtection="1">
      <alignment horizontal="left" vertical="top"/>
      <protection locked="0"/>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4" fillId="0" borderId="1" xfId="0" applyFont="1" applyBorder="1" applyAlignment="1">
      <alignment horizontal="left" vertical="top"/>
    </xf>
    <xf numFmtId="0" fontId="6" fillId="0" borderId="1" xfId="0" applyFont="1" applyBorder="1" applyAlignment="1" applyProtection="1">
      <alignment horizontal="left"/>
      <protection locked="0"/>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20" fillId="0" borderId="0" xfId="0" applyFont="1" applyBorder="1" applyAlignment="1">
      <alignment horizontal="left" vertical="center" wrapText="1"/>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2" fillId="0" borderId="32" xfId="0" applyFont="1" applyFill="1" applyBorder="1" applyAlignment="1">
      <alignment horizontal="center"/>
    </xf>
    <xf numFmtId="0" fontId="22" fillId="5" borderId="33"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3" fillId="6" borderId="37"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1"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23" fillId="9" borderId="15"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17" xfId="1" applyFont="1" applyFill="1" applyBorder="1" applyAlignment="1">
      <alignment horizontal="lef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2" fillId="0" borderId="0" xfId="0" applyFont="1" applyFill="1" applyBorder="1" applyAlignment="1">
      <alignment horizontal="center"/>
    </xf>
    <xf numFmtId="0" fontId="22" fillId="5" borderId="11" xfId="0" applyFont="1" applyFill="1" applyBorder="1" applyAlignment="1">
      <alignment horizontal="center" vertical="center" textRotation="90"/>
    </xf>
    <xf numFmtId="0" fontId="22" fillId="5" borderId="23" xfId="0" applyFont="1" applyFill="1" applyBorder="1" applyAlignment="1">
      <alignment horizontal="center" vertical="center" textRotation="90"/>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2" fillId="5" borderId="30"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10" xfId="1" applyFont="1" applyFill="1" applyBorder="1" applyAlignment="1">
      <alignment horizontal="left" vertical="center"/>
    </xf>
    <xf numFmtId="0" fontId="23" fillId="7" borderId="13" xfId="1" applyFont="1" applyFill="1" applyBorder="1" applyAlignment="1">
      <alignment horizontal="left" vertical="center"/>
    </xf>
    <xf numFmtId="0" fontId="23" fillId="7" borderId="1" xfId="1" applyFont="1" applyFill="1" applyBorder="1" applyAlignment="1">
      <alignment horizontal="left" vertical="center"/>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62"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47" xfId="1" applyFont="1" applyFill="1" applyBorder="1" applyAlignment="1">
      <alignment horizontal="left" vertical="center"/>
    </xf>
    <xf numFmtId="0" fontId="23" fillId="7" borderId="2" xfId="1"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32951448"/>
        <c:axId val="332950664"/>
      </c:lineChart>
      <c:catAx>
        <c:axId val="332951448"/>
        <c:scaling>
          <c:orientation val="minMax"/>
        </c:scaling>
        <c:delete val="1"/>
        <c:axPos val="b"/>
        <c:majorTickMark val="none"/>
        <c:minorTickMark val="none"/>
        <c:tickLblPos val="nextTo"/>
        <c:crossAx val="332950664"/>
        <c:crosses val="autoZero"/>
        <c:auto val="1"/>
        <c:lblAlgn val="ctr"/>
        <c:lblOffset val="100"/>
        <c:noMultiLvlLbl val="0"/>
      </c:catAx>
      <c:valAx>
        <c:axId val="332950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32951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32954584"/>
        <c:axId val="332952232"/>
      </c:lineChart>
      <c:catAx>
        <c:axId val="332954584"/>
        <c:scaling>
          <c:orientation val="minMax"/>
        </c:scaling>
        <c:delete val="1"/>
        <c:axPos val="b"/>
        <c:majorTickMark val="none"/>
        <c:minorTickMark val="none"/>
        <c:tickLblPos val="nextTo"/>
        <c:crossAx val="332952232"/>
        <c:crosses val="autoZero"/>
        <c:auto val="1"/>
        <c:lblAlgn val="ctr"/>
        <c:lblOffset val="100"/>
        <c:noMultiLvlLbl val="0"/>
      </c:catAx>
      <c:valAx>
        <c:axId val="332952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32954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949488"/>
        <c:axId val="332953408"/>
      </c:lineChart>
      <c:catAx>
        <c:axId val="3329494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3408"/>
        <c:crosses val="autoZero"/>
        <c:auto val="1"/>
        <c:lblAlgn val="ctr"/>
        <c:lblOffset val="100"/>
        <c:noMultiLvlLbl val="0"/>
      </c:catAx>
      <c:valAx>
        <c:axId val="3329534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49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948704"/>
        <c:axId val="332951840"/>
      </c:lineChart>
      <c:catAx>
        <c:axId val="332948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1840"/>
        <c:crosses val="autoZero"/>
        <c:auto val="1"/>
        <c:lblAlgn val="ctr"/>
        <c:lblOffset val="100"/>
        <c:noMultiLvlLbl val="0"/>
      </c:catAx>
      <c:valAx>
        <c:axId val="3329518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48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953800"/>
        <c:axId val="332949880"/>
      </c:lineChart>
      <c:catAx>
        <c:axId val="3329538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49880"/>
        <c:crosses val="autoZero"/>
        <c:auto val="1"/>
        <c:lblAlgn val="ctr"/>
        <c:lblOffset val="100"/>
        <c:noMultiLvlLbl val="0"/>
      </c:catAx>
      <c:valAx>
        <c:axId val="3329498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3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953016"/>
        <c:axId val="332947920"/>
      </c:lineChart>
      <c:catAx>
        <c:axId val="3329530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47920"/>
        <c:crosses val="autoZero"/>
        <c:auto val="1"/>
        <c:lblAlgn val="ctr"/>
        <c:lblOffset val="100"/>
        <c:noMultiLvlLbl val="0"/>
      </c:catAx>
      <c:valAx>
        <c:axId val="3329479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3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3160104"/>
        <c:axId val="333160496"/>
      </c:lineChart>
      <c:catAx>
        <c:axId val="3331601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0496"/>
        <c:crosses val="autoZero"/>
        <c:auto val="1"/>
        <c:lblAlgn val="ctr"/>
        <c:lblOffset val="100"/>
        <c:noMultiLvlLbl val="0"/>
      </c:catAx>
      <c:valAx>
        <c:axId val="3331604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0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3165984"/>
        <c:axId val="333162456"/>
      </c:lineChart>
      <c:catAx>
        <c:axId val="3331659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2456"/>
        <c:crosses val="autoZero"/>
        <c:auto val="1"/>
        <c:lblAlgn val="ctr"/>
        <c:lblOffset val="100"/>
        <c:noMultiLvlLbl val="0"/>
      </c:catAx>
      <c:valAx>
        <c:axId val="3331624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5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3159712"/>
        <c:axId val="333161280"/>
      </c:lineChart>
      <c:catAx>
        <c:axId val="3331597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1280"/>
        <c:crosses val="autoZero"/>
        <c:auto val="1"/>
        <c:lblAlgn val="ctr"/>
        <c:lblOffset val="100"/>
        <c:noMultiLvlLbl val="0"/>
      </c:catAx>
      <c:valAx>
        <c:axId val="3331612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59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3166376"/>
        <c:axId val="333161672"/>
      </c:lineChart>
      <c:catAx>
        <c:axId val="333166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1672"/>
        <c:crosses val="autoZero"/>
        <c:auto val="1"/>
        <c:lblAlgn val="ctr"/>
        <c:lblOffset val="100"/>
        <c:noMultiLvlLbl val="0"/>
      </c:catAx>
      <c:valAx>
        <c:axId val="3331616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6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3167160"/>
        <c:axId val="333162848"/>
      </c:lineChart>
      <c:catAx>
        <c:axId val="3331671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2848"/>
        <c:crosses val="autoZero"/>
        <c:auto val="1"/>
        <c:lblAlgn val="ctr"/>
        <c:lblOffset val="100"/>
        <c:noMultiLvlLbl val="0"/>
      </c:catAx>
      <c:valAx>
        <c:axId val="3331628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7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3164024"/>
        <c:axId val="333164416"/>
      </c:lineChart>
      <c:catAx>
        <c:axId val="3331640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4416"/>
        <c:crosses val="autoZero"/>
        <c:auto val="1"/>
        <c:lblAlgn val="ctr"/>
        <c:lblOffset val="100"/>
        <c:noMultiLvlLbl val="0"/>
      </c:catAx>
      <c:valAx>
        <c:axId val="3331644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4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3165200"/>
        <c:axId val="333165592"/>
      </c:lineChart>
      <c:catAx>
        <c:axId val="3331652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5592"/>
        <c:crosses val="autoZero"/>
        <c:auto val="1"/>
        <c:lblAlgn val="ctr"/>
        <c:lblOffset val="100"/>
        <c:noMultiLvlLbl val="0"/>
      </c:catAx>
      <c:valAx>
        <c:axId val="3331655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65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224104"/>
        <c:axId val="332222144"/>
      </c:lineChart>
      <c:catAx>
        <c:axId val="3322241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222144"/>
        <c:crosses val="autoZero"/>
        <c:auto val="1"/>
        <c:lblAlgn val="ctr"/>
        <c:lblOffset val="100"/>
        <c:noMultiLvlLbl val="0"/>
      </c:catAx>
      <c:valAx>
        <c:axId val="3322221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224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32218616"/>
        <c:axId val="332223712"/>
      </c:lineChart>
      <c:catAx>
        <c:axId val="332218616"/>
        <c:scaling>
          <c:orientation val="minMax"/>
        </c:scaling>
        <c:delete val="1"/>
        <c:axPos val="b"/>
        <c:majorTickMark val="none"/>
        <c:minorTickMark val="none"/>
        <c:tickLblPos val="nextTo"/>
        <c:crossAx val="332223712"/>
        <c:crosses val="autoZero"/>
        <c:auto val="1"/>
        <c:lblAlgn val="ctr"/>
        <c:lblOffset val="100"/>
        <c:noMultiLvlLbl val="0"/>
      </c:catAx>
      <c:valAx>
        <c:axId val="33222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32218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32222928"/>
        <c:axId val="332223320"/>
      </c:lineChart>
      <c:catAx>
        <c:axId val="332222928"/>
        <c:scaling>
          <c:orientation val="minMax"/>
        </c:scaling>
        <c:delete val="1"/>
        <c:axPos val="b"/>
        <c:majorTickMark val="none"/>
        <c:minorTickMark val="none"/>
        <c:tickLblPos val="nextTo"/>
        <c:crossAx val="332223320"/>
        <c:crosses val="autoZero"/>
        <c:auto val="1"/>
        <c:lblAlgn val="ctr"/>
        <c:lblOffset val="100"/>
        <c:noMultiLvlLbl val="0"/>
      </c:catAx>
      <c:valAx>
        <c:axId val="332223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3222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32219400"/>
        <c:axId val="332221752"/>
      </c:lineChart>
      <c:catAx>
        <c:axId val="332219400"/>
        <c:scaling>
          <c:orientation val="minMax"/>
        </c:scaling>
        <c:delete val="1"/>
        <c:axPos val="b"/>
        <c:majorTickMark val="none"/>
        <c:minorTickMark val="none"/>
        <c:tickLblPos val="nextTo"/>
        <c:crossAx val="332221752"/>
        <c:crosses val="autoZero"/>
        <c:auto val="1"/>
        <c:lblAlgn val="ctr"/>
        <c:lblOffset val="100"/>
        <c:noMultiLvlLbl val="0"/>
      </c:catAx>
      <c:valAx>
        <c:axId val="332221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32219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224496"/>
        <c:axId val="332224888"/>
      </c:lineChart>
      <c:catAx>
        <c:axId val="3322244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224888"/>
        <c:crosses val="autoZero"/>
        <c:auto val="1"/>
        <c:lblAlgn val="ctr"/>
        <c:lblOffset val="100"/>
        <c:noMultiLvlLbl val="0"/>
      </c:catAx>
      <c:valAx>
        <c:axId val="3322248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224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219008"/>
        <c:axId val="332219792"/>
      </c:lineChart>
      <c:catAx>
        <c:axId val="332219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219792"/>
        <c:crosses val="autoZero"/>
        <c:auto val="1"/>
        <c:lblAlgn val="ctr"/>
        <c:lblOffset val="100"/>
        <c:noMultiLvlLbl val="0"/>
      </c:catAx>
      <c:valAx>
        <c:axId val="3322197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219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221360"/>
        <c:axId val="332957688"/>
      </c:lineChart>
      <c:catAx>
        <c:axId val="3322213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7688"/>
        <c:crosses val="autoZero"/>
        <c:auto val="1"/>
        <c:lblAlgn val="ctr"/>
        <c:lblOffset val="100"/>
        <c:noMultiLvlLbl val="0"/>
      </c:catAx>
      <c:valAx>
        <c:axId val="332957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221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960040"/>
        <c:axId val="332960432"/>
      </c:lineChart>
      <c:catAx>
        <c:axId val="3329600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60432"/>
        <c:crosses val="autoZero"/>
        <c:auto val="1"/>
        <c:lblAlgn val="ctr"/>
        <c:lblOffset val="100"/>
        <c:noMultiLvlLbl val="0"/>
      </c:catAx>
      <c:valAx>
        <c:axId val="3329604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60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960824"/>
        <c:axId val="332961216"/>
      </c:lineChart>
      <c:catAx>
        <c:axId val="3329608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61216"/>
        <c:crosses val="autoZero"/>
        <c:auto val="1"/>
        <c:lblAlgn val="ctr"/>
        <c:lblOffset val="100"/>
        <c:noMultiLvlLbl val="0"/>
      </c:catAx>
      <c:valAx>
        <c:axId val="3329612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60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958080"/>
        <c:axId val="332958472"/>
      </c:lineChart>
      <c:catAx>
        <c:axId val="3329580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8472"/>
        <c:crosses val="autoZero"/>
        <c:auto val="1"/>
        <c:lblAlgn val="ctr"/>
        <c:lblOffset val="100"/>
        <c:noMultiLvlLbl val="0"/>
      </c:catAx>
      <c:valAx>
        <c:axId val="3329584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8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955728"/>
        <c:axId val="332962784"/>
      </c:lineChart>
      <c:catAx>
        <c:axId val="332955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62784"/>
        <c:crosses val="autoZero"/>
        <c:auto val="1"/>
        <c:lblAlgn val="ctr"/>
        <c:lblOffset val="100"/>
        <c:noMultiLvlLbl val="0"/>
      </c:catAx>
      <c:valAx>
        <c:axId val="3329627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5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963176"/>
        <c:axId val="332958864"/>
      </c:lineChart>
      <c:catAx>
        <c:axId val="332963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8864"/>
        <c:crosses val="autoZero"/>
        <c:auto val="1"/>
        <c:lblAlgn val="ctr"/>
        <c:lblOffset val="100"/>
        <c:noMultiLvlLbl val="0"/>
      </c:catAx>
      <c:valAx>
        <c:axId val="3329588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63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956120"/>
        <c:axId val="332956512"/>
      </c:lineChart>
      <c:catAx>
        <c:axId val="3329561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6512"/>
        <c:crosses val="autoZero"/>
        <c:auto val="1"/>
        <c:lblAlgn val="ctr"/>
        <c:lblOffset val="100"/>
        <c:noMultiLvlLbl val="0"/>
      </c:catAx>
      <c:valAx>
        <c:axId val="3329565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956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2900544"/>
        <c:axId val="312905640"/>
      </c:lineChart>
      <c:catAx>
        <c:axId val="312900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2905640"/>
        <c:crosses val="autoZero"/>
        <c:auto val="1"/>
        <c:lblAlgn val="ctr"/>
        <c:lblOffset val="100"/>
        <c:noMultiLvlLbl val="0"/>
      </c:catAx>
      <c:valAx>
        <c:axId val="312905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290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2902896"/>
        <c:axId val="312906424"/>
      </c:lineChart>
      <c:catAx>
        <c:axId val="312902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2906424"/>
        <c:crosses val="autoZero"/>
        <c:auto val="1"/>
        <c:lblAlgn val="ctr"/>
        <c:lblOffset val="100"/>
        <c:noMultiLvlLbl val="0"/>
      </c:catAx>
      <c:valAx>
        <c:axId val="312906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2902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2898976"/>
        <c:axId val="312903680"/>
      </c:lineChart>
      <c:catAx>
        <c:axId val="3128989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2903680"/>
        <c:crosses val="autoZero"/>
        <c:auto val="1"/>
        <c:lblAlgn val="ctr"/>
        <c:lblOffset val="100"/>
        <c:noMultiLvlLbl val="0"/>
      </c:catAx>
      <c:valAx>
        <c:axId val="312903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2898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12906032"/>
        <c:axId val="312902112"/>
      </c:lineChart>
      <c:catAx>
        <c:axId val="312906032"/>
        <c:scaling>
          <c:orientation val="minMax"/>
        </c:scaling>
        <c:delete val="1"/>
        <c:axPos val="b"/>
        <c:majorTickMark val="none"/>
        <c:minorTickMark val="none"/>
        <c:tickLblPos val="nextTo"/>
        <c:crossAx val="312902112"/>
        <c:crosses val="autoZero"/>
        <c:auto val="1"/>
        <c:lblAlgn val="ctr"/>
        <c:lblOffset val="100"/>
        <c:noMultiLvlLbl val="0"/>
      </c:catAx>
      <c:valAx>
        <c:axId val="312902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12906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12899760"/>
        <c:axId val="312900152"/>
      </c:lineChart>
      <c:catAx>
        <c:axId val="312899760"/>
        <c:scaling>
          <c:orientation val="minMax"/>
        </c:scaling>
        <c:delete val="1"/>
        <c:axPos val="b"/>
        <c:majorTickMark val="none"/>
        <c:minorTickMark val="none"/>
        <c:tickLblPos val="nextTo"/>
        <c:crossAx val="312900152"/>
        <c:crosses val="autoZero"/>
        <c:auto val="1"/>
        <c:lblAlgn val="ctr"/>
        <c:lblOffset val="100"/>
        <c:noMultiLvlLbl val="0"/>
      </c:catAx>
      <c:valAx>
        <c:axId val="312900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12899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12904856"/>
        <c:axId val="312901720"/>
      </c:lineChart>
      <c:catAx>
        <c:axId val="312904856"/>
        <c:scaling>
          <c:orientation val="minMax"/>
        </c:scaling>
        <c:delete val="1"/>
        <c:axPos val="b"/>
        <c:majorTickMark val="none"/>
        <c:minorTickMark val="none"/>
        <c:tickLblPos val="nextTo"/>
        <c:crossAx val="312901720"/>
        <c:crosses val="autoZero"/>
        <c:auto val="1"/>
        <c:lblAlgn val="ctr"/>
        <c:lblOffset val="100"/>
        <c:noMultiLvlLbl val="0"/>
      </c:catAx>
      <c:valAx>
        <c:axId val="312901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12904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2903288"/>
        <c:axId val="312905248"/>
      </c:lineChart>
      <c:catAx>
        <c:axId val="312903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2905248"/>
        <c:crosses val="autoZero"/>
        <c:auto val="1"/>
        <c:lblAlgn val="ctr"/>
        <c:lblOffset val="100"/>
        <c:noMultiLvlLbl val="0"/>
      </c:catAx>
      <c:valAx>
        <c:axId val="3129052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2903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045136"/>
        <c:axId val="332043568"/>
      </c:lineChart>
      <c:catAx>
        <c:axId val="3320451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43568"/>
        <c:crosses val="autoZero"/>
        <c:auto val="1"/>
        <c:lblAlgn val="ctr"/>
        <c:lblOffset val="100"/>
        <c:noMultiLvlLbl val="0"/>
      </c:catAx>
      <c:valAx>
        <c:axId val="332043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45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042392"/>
        <c:axId val="332039256"/>
      </c:lineChart>
      <c:catAx>
        <c:axId val="332042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39256"/>
        <c:crosses val="autoZero"/>
        <c:auto val="1"/>
        <c:lblAlgn val="ctr"/>
        <c:lblOffset val="100"/>
        <c:noMultiLvlLbl val="0"/>
      </c:catAx>
      <c:valAx>
        <c:axId val="3320392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42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044744"/>
        <c:axId val="332038864"/>
      </c:lineChart>
      <c:catAx>
        <c:axId val="3320447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38864"/>
        <c:crosses val="autoZero"/>
        <c:auto val="1"/>
        <c:lblAlgn val="ctr"/>
        <c:lblOffset val="100"/>
        <c:noMultiLvlLbl val="0"/>
      </c:catAx>
      <c:valAx>
        <c:axId val="3320388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44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044352"/>
        <c:axId val="332040824"/>
      </c:lineChart>
      <c:catAx>
        <c:axId val="332044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40824"/>
        <c:crosses val="autoZero"/>
        <c:auto val="1"/>
        <c:lblAlgn val="ctr"/>
        <c:lblOffset val="100"/>
        <c:noMultiLvlLbl val="0"/>
      </c:catAx>
      <c:valAx>
        <c:axId val="3320408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44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041608"/>
        <c:axId val="332042000"/>
      </c:lineChart>
      <c:catAx>
        <c:axId val="3320416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42000"/>
        <c:crosses val="autoZero"/>
        <c:auto val="1"/>
        <c:lblAlgn val="ctr"/>
        <c:lblOffset val="100"/>
        <c:noMultiLvlLbl val="0"/>
      </c:catAx>
      <c:valAx>
        <c:axId val="3320420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41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043176"/>
        <c:axId val="332045528"/>
      </c:lineChart>
      <c:catAx>
        <c:axId val="332043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45528"/>
        <c:crosses val="autoZero"/>
        <c:auto val="1"/>
        <c:lblAlgn val="ctr"/>
        <c:lblOffset val="100"/>
        <c:noMultiLvlLbl val="0"/>
      </c:catAx>
      <c:valAx>
        <c:axId val="332045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43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2038080"/>
        <c:axId val="331367936"/>
      </c:lineChart>
      <c:catAx>
        <c:axId val="3320380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1367936"/>
        <c:crosses val="autoZero"/>
        <c:auto val="1"/>
        <c:lblAlgn val="ctr"/>
        <c:lblOffset val="100"/>
        <c:noMultiLvlLbl val="0"/>
      </c:catAx>
      <c:valAx>
        <c:axId val="3313679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2038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1372248"/>
        <c:axId val="331368328"/>
      </c:lineChart>
      <c:catAx>
        <c:axId val="331372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1368328"/>
        <c:crosses val="autoZero"/>
        <c:auto val="1"/>
        <c:lblAlgn val="ctr"/>
        <c:lblOffset val="100"/>
        <c:noMultiLvlLbl val="0"/>
      </c:catAx>
      <c:valAx>
        <c:axId val="3313683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1372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1370288"/>
        <c:axId val="331372640"/>
      </c:lineChart>
      <c:catAx>
        <c:axId val="331370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1372640"/>
        <c:crosses val="autoZero"/>
        <c:auto val="1"/>
        <c:lblAlgn val="ctr"/>
        <c:lblOffset val="100"/>
        <c:noMultiLvlLbl val="0"/>
      </c:catAx>
      <c:valAx>
        <c:axId val="331372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1370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1373032"/>
        <c:axId val="331373424"/>
      </c:lineChart>
      <c:catAx>
        <c:axId val="331373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1373424"/>
        <c:crosses val="autoZero"/>
        <c:auto val="1"/>
        <c:lblAlgn val="ctr"/>
        <c:lblOffset val="100"/>
        <c:noMultiLvlLbl val="0"/>
      </c:catAx>
      <c:valAx>
        <c:axId val="331373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1373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1371856"/>
        <c:axId val="331369896"/>
      </c:lineChart>
      <c:catAx>
        <c:axId val="331371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1369896"/>
        <c:crosses val="autoZero"/>
        <c:auto val="1"/>
        <c:lblAlgn val="ctr"/>
        <c:lblOffset val="100"/>
        <c:noMultiLvlLbl val="0"/>
      </c:catAx>
      <c:valAx>
        <c:axId val="3313698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1371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31370680"/>
        <c:axId val="331374208"/>
      </c:lineChart>
      <c:catAx>
        <c:axId val="331370680"/>
        <c:scaling>
          <c:orientation val="minMax"/>
        </c:scaling>
        <c:delete val="1"/>
        <c:axPos val="b"/>
        <c:majorTickMark val="none"/>
        <c:minorTickMark val="none"/>
        <c:tickLblPos val="nextTo"/>
        <c:crossAx val="331374208"/>
        <c:crosses val="autoZero"/>
        <c:auto val="1"/>
        <c:lblAlgn val="ctr"/>
        <c:lblOffset val="100"/>
        <c:noMultiLvlLbl val="0"/>
      </c:catAx>
      <c:valAx>
        <c:axId val="331374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31370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zoomScaleNormal="100" workbookViewId="0">
      <selection activeCell="B2" sqref="B2:K112"/>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78" t="s">
        <v>4</v>
      </c>
      <c r="C1" s="179"/>
      <c r="D1" s="179"/>
      <c r="E1" s="179"/>
      <c r="F1" s="179"/>
      <c r="G1" s="179"/>
      <c r="H1" s="179"/>
      <c r="I1" s="179"/>
      <c r="J1" s="179"/>
      <c r="K1" s="180"/>
    </row>
    <row r="2" spans="2:13" x14ac:dyDescent="0.25">
      <c r="B2" s="145" t="s">
        <v>5</v>
      </c>
      <c r="C2" s="181" t="s">
        <v>414</v>
      </c>
      <c r="D2" s="182"/>
      <c r="E2" s="182"/>
      <c r="F2" s="182"/>
      <c r="G2" s="182"/>
      <c r="H2" s="182"/>
      <c r="I2" s="182"/>
      <c r="J2" s="182"/>
      <c r="K2" s="183"/>
    </row>
    <row r="3" spans="2:13" x14ac:dyDescent="0.25">
      <c r="B3" s="146" t="s">
        <v>6</v>
      </c>
      <c r="C3" s="184" t="s">
        <v>415</v>
      </c>
      <c r="D3" s="184"/>
      <c r="E3" s="184"/>
      <c r="F3" s="184"/>
      <c r="G3" s="184"/>
      <c r="H3" s="184"/>
      <c r="I3" s="184"/>
      <c r="J3" s="184"/>
      <c r="K3" s="185"/>
    </row>
    <row r="4" spans="2:13" x14ac:dyDescent="0.25">
      <c r="B4" s="146" t="s">
        <v>7</v>
      </c>
      <c r="C4" s="184" t="s">
        <v>222</v>
      </c>
      <c r="D4" s="184"/>
      <c r="E4" s="184"/>
      <c r="F4" s="184"/>
      <c r="G4" s="184"/>
      <c r="H4" s="184"/>
      <c r="I4" s="184"/>
      <c r="J4" s="184"/>
      <c r="K4" s="185"/>
    </row>
    <row r="5" spans="2:13" x14ac:dyDescent="0.25">
      <c r="B5" s="146" t="s">
        <v>366</v>
      </c>
      <c r="C5" s="186">
        <v>30404</v>
      </c>
      <c r="D5" s="186"/>
      <c r="E5" s="186"/>
      <c r="F5" s="186"/>
      <c r="G5" s="186"/>
      <c r="H5" s="186"/>
      <c r="I5" s="186"/>
      <c r="J5" s="186"/>
      <c r="K5" s="187"/>
    </row>
    <row r="6" spans="2:13" x14ac:dyDescent="0.25">
      <c r="B6" s="147" t="s">
        <v>367</v>
      </c>
      <c r="C6" s="188">
        <v>66</v>
      </c>
      <c r="D6" s="188"/>
      <c r="E6" s="188"/>
      <c r="F6" s="188"/>
      <c r="G6" s="188"/>
      <c r="H6" s="188"/>
      <c r="I6" s="188"/>
      <c r="J6" s="188"/>
      <c r="K6" s="189"/>
    </row>
    <row r="7" spans="2:13" ht="14.4" thickBot="1" x14ac:dyDescent="0.3">
      <c r="B7" s="148" t="s">
        <v>368</v>
      </c>
      <c r="C7" s="190">
        <v>166</v>
      </c>
      <c r="D7" s="190"/>
      <c r="E7" s="190"/>
      <c r="F7" s="190"/>
      <c r="G7" s="190"/>
      <c r="H7" s="190"/>
      <c r="I7" s="190"/>
      <c r="J7" s="190"/>
      <c r="K7" s="191"/>
    </row>
    <row r="8" spans="2:13" ht="10.050000000000001" customHeight="1" thickBot="1" x14ac:dyDescent="0.3"/>
    <row r="9" spans="2:13" ht="15" customHeight="1" thickBot="1" x14ac:dyDescent="0.3">
      <c r="B9" s="200" t="s">
        <v>394</v>
      </c>
      <c r="C9" s="201"/>
      <c r="D9" s="201"/>
      <c r="E9" s="201"/>
      <c r="F9" s="201"/>
      <c r="G9" s="201"/>
      <c r="H9" s="201"/>
      <c r="I9" s="201"/>
      <c r="J9" s="201"/>
      <c r="K9" s="202"/>
    </row>
    <row r="10" spans="2:13" ht="15" customHeight="1" x14ac:dyDescent="0.25">
      <c r="B10" s="145" t="s">
        <v>17</v>
      </c>
      <c r="C10" s="203" t="s">
        <v>264</v>
      </c>
      <c r="D10" s="203"/>
      <c r="E10" s="203"/>
      <c r="F10" s="203"/>
      <c r="G10" s="203"/>
      <c r="H10" s="203"/>
      <c r="I10" s="203"/>
      <c r="J10" s="203"/>
      <c r="K10" s="204"/>
    </row>
    <row r="11" spans="2:13" ht="15" customHeight="1" x14ac:dyDescent="0.25">
      <c r="B11" s="102" t="s">
        <v>8</v>
      </c>
      <c r="C11" s="184" t="s">
        <v>60</v>
      </c>
      <c r="D11" s="184"/>
      <c r="E11" s="184"/>
      <c r="F11" s="184"/>
      <c r="G11" s="184"/>
      <c r="H11" s="184"/>
      <c r="I11" s="184"/>
      <c r="J11" s="184"/>
      <c r="K11" s="185"/>
    </row>
    <row r="12" spans="2:13" ht="15" customHeight="1" x14ac:dyDescent="0.25">
      <c r="B12" s="102" t="s">
        <v>395</v>
      </c>
      <c r="C12" s="186">
        <v>30404</v>
      </c>
      <c r="D12" s="186"/>
      <c r="E12" s="186"/>
      <c r="F12" s="186"/>
      <c r="G12" s="186"/>
      <c r="H12" s="186"/>
      <c r="I12" s="186"/>
      <c r="J12" s="186"/>
      <c r="K12" s="187"/>
      <c r="M12" s="100" t="s">
        <v>403</v>
      </c>
    </row>
    <row r="13" spans="2:13" ht="15" customHeight="1" x14ac:dyDescent="0.25">
      <c r="B13" s="102" t="s">
        <v>396</v>
      </c>
      <c r="C13" s="205" t="s">
        <v>265</v>
      </c>
      <c r="D13" s="205"/>
      <c r="E13" s="205"/>
      <c r="F13" s="205"/>
      <c r="G13" s="205"/>
      <c r="H13" s="205"/>
      <c r="I13" s="205"/>
      <c r="J13" s="205"/>
      <c r="K13" s="206"/>
    </row>
    <row r="14" spans="2:13" ht="15" customHeight="1" thickBot="1" x14ac:dyDescent="0.3">
      <c r="B14" s="149" t="s">
        <v>397</v>
      </c>
      <c r="C14" s="192" t="s">
        <v>271</v>
      </c>
      <c r="D14" s="192"/>
      <c r="E14" s="192"/>
      <c r="F14" s="192"/>
      <c r="G14" s="192"/>
      <c r="H14" s="192"/>
      <c r="I14" s="192"/>
      <c r="J14" s="192"/>
      <c r="K14" s="193"/>
    </row>
    <row r="15" spans="2:13" ht="10.050000000000001" customHeight="1" thickBot="1" x14ac:dyDescent="0.3">
      <c r="B15" s="150"/>
      <c r="C15" s="151"/>
      <c r="D15" s="151"/>
      <c r="E15" s="151"/>
      <c r="F15" s="151"/>
      <c r="G15" s="151"/>
      <c r="H15" s="151"/>
      <c r="I15" s="151"/>
      <c r="J15" s="151"/>
      <c r="K15" s="151"/>
    </row>
    <row r="16" spans="2:13" ht="15" customHeight="1" thickBot="1" x14ac:dyDescent="0.3">
      <c r="B16" s="200" t="s">
        <v>398</v>
      </c>
      <c r="C16" s="201"/>
      <c r="D16" s="201"/>
      <c r="E16" s="201"/>
      <c r="F16" s="201"/>
      <c r="G16" s="201"/>
      <c r="H16" s="201"/>
      <c r="I16" s="201"/>
      <c r="J16" s="201"/>
      <c r="K16" s="202"/>
    </row>
    <row r="17" spans="2:13" ht="15" customHeight="1" x14ac:dyDescent="0.25">
      <c r="B17" s="194" t="s">
        <v>27</v>
      </c>
      <c r="C17" s="203" t="s">
        <v>416</v>
      </c>
      <c r="D17" s="203"/>
      <c r="E17" s="203"/>
      <c r="F17" s="203"/>
      <c r="G17" s="234" t="s">
        <v>0</v>
      </c>
      <c r="H17" s="234"/>
      <c r="I17" s="227">
        <v>30404</v>
      </c>
      <c r="J17" s="227"/>
      <c r="K17" s="228"/>
      <c r="M17" s="100" t="s">
        <v>403</v>
      </c>
    </row>
    <row r="18" spans="2:13" ht="15" customHeight="1" x14ac:dyDescent="0.25">
      <c r="B18" s="195"/>
      <c r="C18" s="184" t="s">
        <v>60</v>
      </c>
      <c r="D18" s="184"/>
      <c r="E18" s="184"/>
      <c r="F18" s="184"/>
      <c r="G18" s="233" t="s">
        <v>0</v>
      </c>
      <c r="H18" s="233"/>
      <c r="I18" s="229"/>
      <c r="J18" s="229"/>
      <c r="K18" s="230"/>
    </row>
    <row r="19" spans="2:13" ht="15" customHeight="1" x14ac:dyDescent="0.25">
      <c r="B19" s="195"/>
      <c r="C19" s="184" t="s">
        <v>60</v>
      </c>
      <c r="D19" s="184"/>
      <c r="E19" s="184"/>
      <c r="F19" s="184"/>
      <c r="G19" s="233" t="s">
        <v>0</v>
      </c>
      <c r="H19" s="233"/>
      <c r="I19" s="229"/>
      <c r="J19" s="229"/>
      <c r="K19" s="230"/>
    </row>
    <row r="20" spans="2:13" ht="15" customHeight="1" x14ac:dyDescent="0.25">
      <c r="B20" s="195"/>
      <c r="C20" s="184" t="s">
        <v>60</v>
      </c>
      <c r="D20" s="184"/>
      <c r="E20" s="184"/>
      <c r="F20" s="184"/>
      <c r="G20" s="233" t="s">
        <v>0</v>
      </c>
      <c r="H20" s="233"/>
      <c r="I20" s="229"/>
      <c r="J20" s="229"/>
      <c r="K20" s="230"/>
    </row>
    <row r="21" spans="2:13" ht="15" customHeight="1" x14ac:dyDescent="0.25">
      <c r="B21" s="195"/>
      <c r="C21" s="184" t="s">
        <v>60</v>
      </c>
      <c r="D21" s="184"/>
      <c r="E21" s="184"/>
      <c r="F21" s="184"/>
      <c r="G21" s="233" t="s">
        <v>0</v>
      </c>
      <c r="H21" s="233"/>
      <c r="I21" s="229"/>
      <c r="J21" s="229"/>
      <c r="K21" s="230"/>
    </row>
    <row r="22" spans="2:13" ht="15" customHeight="1" thickBot="1" x14ac:dyDescent="0.3">
      <c r="B22" s="196"/>
      <c r="C22" s="207" t="s">
        <v>417</v>
      </c>
      <c r="D22" s="207"/>
      <c r="E22" s="207"/>
      <c r="F22" s="207"/>
      <c r="G22" s="226" t="s">
        <v>0</v>
      </c>
      <c r="H22" s="226"/>
      <c r="I22" s="231">
        <v>43188</v>
      </c>
      <c r="J22" s="231"/>
      <c r="K22" s="232"/>
    </row>
    <row r="23" spans="2:13" ht="10.050000000000001" customHeight="1" thickBot="1" x14ac:dyDescent="0.3"/>
    <row r="24" spans="2:13" ht="14.4" thickBot="1" x14ac:dyDescent="0.3">
      <c r="B24" s="200" t="s">
        <v>9</v>
      </c>
      <c r="C24" s="201"/>
      <c r="D24" s="201"/>
      <c r="E24" s="201"/>
      <c r="F24" s="201"/>
      <c r="G24" s="201"/>
      <c r="H24" s="201"/>
      <c r="I24" s="201"/>
      <c r="J24" s="201"/>
      <c r="K24" s="202"/>
    </row>
    <row r="25" spans="2:13" x14ac:dyDescent="0.25">
      <c r="B25" s="101" t="s">
        <v>1</v>
      </c>
      <c r="C25" s="203" t="s">
        <v>241</v>
      </c>
      <c r="D25" s="203"/>
      <c r="E25" s="203"/>
      <c r="F25" s="203"/>
      <c r="G25" s="203"/>
      <c r="H25" s="203"/>
      <c r="I25" s="203"/>
      <c r="J25" s="203"/>
      <c r="K25" s="204"/>
    </row>
    <row r="26" spans="2:13" x14ac:dyDescent="0.25">
      <c r="B26" s="102" t="s">
        <v>10</v>
      </c>
      <c r="C26" s="184" t="s">
        <v>261</v>
      </c>
      <c r="D26" s="184"/>
      <c r="E26" s="184"/>
      <c r="F26" s="184"/>
      <c r="G26" s="184"/>
      <c r="H26" s="184"/>
      <c r="I26" s="184"/>
      <c r="J26" s="184"/>
      <c r="K26" s="185"/>
    </row>
    <row r="27" spans="2:13" x14ac:dyDescent="0.25">
      <c r="B27" s="102" t="s">
        <v>0</v>
      </c>
      <c r="C27" s="186">
        <v>43236</v>
      </c>
      <c r="D27" s="186"/>
      <c r="E27" s="186"/>
      <c r="F27" s="186"/>
      <c r="G27" s="186"/>
      <c r="H27" s="186"/>
      <c r="I27" s="186"/>
      <c r="J27" s="186"/>
      <c r="K27" s="187"/>
    </row>
    <row r="28" spans="2:13" x14ac:dyDescent="0.25">
      <c r="B28" s="102" t="s">
        <v>11</v>
      </c>
      <c r="C28" s="184" t="s">
        <v>278</v>
      </c>
      <c r="D28" s="184"/>
      <c r="E28" s="184"/>
      <c r="F28" s="184"/>
      <c r="G28" s="184"/>
      <c r="H28" s="184"/>
      <c r="I28" s="184"/>
      <c r="J28" s="184"/>
      <c r="K28" s="185"/>
    </row>
    <row r="29" spans="2:13" ht="76.8" customHeight="1" thickBot="1" x14ac:dyDescent="0.3">
      <c r="B29" s="103" t="s">
        <v>25</v>
      </c>
      <c r="C29" s="198" t="s">
        <v>418</v>
      </c>
      <c r="D29" s="198"/>
      <c r="E29" s="198"/>
      <c r="F29" s="198"/>
      <c r="G29" s="198"/>
      <c r="H29" s="198"/>
      <c r="I29" s="198"/>
      <c r="J29" s="198"/>
      <c r="K29" s="199"/>
    </row>
    <row r="30" spans="2:13" ht="10.050000000000001" customHeight="1" thickBot="1" x14ac:dyDescent="0.3"/>
    <row r="31" spans="2:13" ht="14.4" thickBot="1" x14ac:dyDescent="0.3">
      <c r="B31" s="178" t="s">
        <v>370</v>
      </c>
      <c r="C31" s="179"/>
      <c r="D31" s="179"/>
      <c r="E31" s="179"/>
      <c r="F31" s="179"/>
      <c r="G31" s="179"/>
      <c r="H31" s="179"/>
      <c r="I31" s="179"/>
      <c r="J31" s="179"/>
      <c r="K31" s="180"/>
    </row>
    <row r="32" spans="2:13" x14ac:dyDescent="0.25">
      <c r="B32" s="212" t="s">
        <v>371</v>
      </c>
      <c r="C32" s="213"/>
      <c r="D32" s="213"/>
      <c r="E32" s="213"/>
      <c r="F32" s="214" t="s">
        <v>238</v>
      </c>
      <c r="G32" s="214"/>
      <c r="H32" s="214"/>
      <c r="I32" s="214"/>
      <c r="J32" s="214"/>
      <c r="K32" s="215"/>
    </row>
    <row r="33" spans="2:13" x14ac:dyDescent="0.25">
      <c r="B33" s="216" t="s">
        <v>372</v>
      </c>
      <c r="C33" s="217"/>
      <c r="D33" s="197" t="s">
        <v>375</v>
      </c>
      <c r="E33" s="197"/>
      <c r="F33" s="205" t="s">
        <v>476</v>
      </c>
      <c r="G33" s="205"/>
      <c r="H33" s="205"/>
      <c r="I33" s="205"/>
      <c r="J33" s="205"/>
      <c r="K33" s="206"/>
    </row>
    <row r="34" spans="2:13" x14ac:dyDescent="0.25">
      <c r="B34" s="218"/>
      <c r="C34" s="219"/>
      <c r="D34" s="197" t="s">
        <v>374</v>
      </c>
      <c r="E34" s="197"/>
      <c r="F34" s="205" t="s">
        <v>475</v>
      </c>
      <c r="G34" s="205"/>
      <c r="H34" s="205"/>
      <c r="I34" s="205"/>
      <c r="J34" s="205"/>
      <c r="K34" s="206"/>
    </row>
    <row r="35" spans="2:13" x14ac:dyDescent="0.25">
      <c r="B35" s="218"/>
      <c r="C35" s="219"/>
      <c r="D35" s="197" t="s">
        <v>376</v>
      </c>
      <c r="E35" s="197"/>
      <c r="F35" s="205" t="s">
        <v>475</v>
      </c>
      <c r="G35" s="205"/>
      <c r="H35" s="205"/>
      <c r="I35" s="205"/>
      <c r="J35" s="205"/>
      <c r="K35" s="206"/>
    </row>
    <row r="36" spans="2:13" x14ac:dyDescent="0.25">
      <c r="B36" s="220"/>
      <c r="C36" s="221"/>
      <c r="D36" s="197" t="s">
        <v>377</v>
      </c>
      <c r="E36" s="197"/>
      <c r="F36" s="205" t="s">
        <v>475</v>
      </c>
      <c r="G36" s="205"/>
      <c r="H36" s="205"/>
      <c r="I36" s="205"/>
      <c r="J36" s="205"/>
      <c r="K36" s="206"/>
    </row>
    <row r="37" spans="2:13" x14ac:dyDescent="0.25">
      <c r="B37" s="222" t="s">
        <v>373</v>
      </c>
      <c r="C37" s="223"/>
      <c r="D37" s="152">
        <v>1</v>
      </c>
      <c r="E37" s="165" t="s">
        <v>499</v>
      </c>
      <c r="F37" s="166" t="s">
        <v>478</v>
      </c>
      <c r="G37" s="153">
        <v>9</v>
      </c>
      <c r="H37" s="208"/>
      <c r="I37" s="208"/>
      <c r="J37" s="208"/>
      <c r="K37" s="209"/>
    </row>
    <row r="38" spans="2:13" x14ac:dyDescent="0.25">
      <c r="B38" s="222"/>
      <c r="C38" s="223"/>
      <c r="D38" s="154">
        <v>2</v>
      </c>
      <c r="E38" s="167" t="s">
        <v>500</v>
      </c>
      <c r="F38" s="168" t="s">
        <v>479</v>
      </c>
      <c r="G38" s="155">
        <v>10</v>
      </c>
      <c r="H38" s="208"/>
      <c r="I38" s="208"/>
      <c r="J38" s="208"/>
      <c r="K38" s="209"/>
    </row>
    <row r="39" spans="2:13" x14ac:dyDescent="0.25">
      <c r="B39" s="222"/>
      <c r="C39" s="223"/>
      <c r="D39" s="156">
        <v>3</v>
      </c>
      <c r="E39" s="167" t="s">
        <v>501</v>
      </c>
      <c r="F39" s="168" t="s">
        <v>480</v>
      </c>
      <c r="G39" s="155">
        <v>11</v>
      </c>
      <c r="H39" s="208"/>
      <c r="I39" s="208"/>
      <c r="J39" s="208"/>
      <c r="K39" s="209"/>
    </row>
    <row r="40" spans="2:13" x14ac:dyDescent="0.25">
      <c r="B40" s="222"/>
      <c r="C40" s="223"/>
      <c r="D40" s="154">
        <v>4</v>
      </c>
      <c r="E40" s="167" t="s">
        <v>502</v>
      </c>
      <c r="F40" s="168" t="s">
        <v>481</v>
      </c>
      <c r="G40" s="155">
        <v>12</v>
      </c>
      <c r="H40" s="208"/>
      <c r="I40" s="208"/>
      <c r="J40" s="208"/>
      <c r="K40" s="209"/>
    </row>
    <row r="41" spans="2:13" x14ac:dyDescent="0.25">
      <c r="B41" s="222"/>
      <c r="C41" s="223"/>
      <c r="D41" s="156">
        <v>5</v>
      </c>
      <c r="E41" s="167" t="s">
        <v>503</v>
      </c>
      <c r="F41" s="168" t="s">
        <v>482</v>
      </c>
      <c r="G41" s="155">
        <v>13</v>
      </c>
      <c r="H41" s="208"/>
      <c r="I41" s="208"/>
      <c r="J41" s="208"/>
      <c r="K41" s="209"/>
    </row>
    <row r="42" spans="2:13" x14ac:dyDescent="0.25">
      <c r="B42" s="222"/>
      <c r="C42" s="223"/>
      <c r="D42" s="154">
        <v>6</v>
      </c>
      <c r="E42" s="167" t="s">
        <v>504</v>
      </c>
      <c r="F42" s="168" t="s">
        <v>483</v>
      </c>
      <c r="G42" s="155">
        <v>14</v>
      </c>
      <c r="H42" s="208"/>
      <c r="I42" s="208"/>
      <c r="J42" s="208"/>
      <c r="K42" s="209"/>
    </row>
    <row r="43" spans="2:13" x14ac:dyDescent="0.25">
      <c r="B43" s="222"/>
      <c r="C43" s="223"/>
      <c r="D43" s="156">
        <v>7</v>
      </c>
      <c r="E43" s="167" t="s">
        <v>505</v>
      </c>
      <c r="F43" s="168" t="s">
        <v>484</v>
      </c>
      <c r="G43" s="155">
        <v>15</v>
      </c>
      <c r="H43" s="208"/>
      <c r="I43" s="208"/>
      <c r="J43" s="208"/>
      <c r="K43" s="209"/>
    </row>
    <row r="44" spans="2:13" ht="14.4" thickBot="1" x14ac:dyDescent="0.3">
      <c r="B44" s="224"/>
      <c r="C44" s="225"/>
      <c r="D44" s="157">
        <v>8</v>
      </c>
      <c r="E44" s="169" t="s">
        <v>506</v>
      </c>
      <c r="F44" s="170" t="s">
        <v>485</v>
      </c>
      <c r="G44" s="158">
        <v>16</v>
      </c>
      <c r="H44" s="210"/>
      <c r="I44" s="210"/>
      <c r="J44" s="210"/>
      <c r="K44" s="211"/>
    </row>
    <row r="45" spans="2:13" ht="10.050000000000001" customHeight="1" thickBot="1" x14ac:dyDescent="0.3"/>
    <row r="46" spans="2:13" ht="14.4" thickBot="1" x14ac:dyDescent="0.3">
      <c r="B46" s="178" t="s">
        <v>378</v>
      </c>
      <c r="C46" s="179"/>
      <c r="D46" s="179"/>
      <c r="E46" s="179"/>
      <c r="F46" s="179"/>
      <c r="G46" s="179"/>
      <c r="H46" s="179"/>
      <c r="I46" s="179"/>
      <c r="J46" s="179"/>
      <c r="K46" s="180"/>
    </row>
    <row r="47" spans="2:13" x14ac:dyDescent="0.25">
      <c r="B47" s="159" t="s">
        <v>5</v>
      </c>
      <c r="C47" s="159" t="s">
        <v>75</v>
      </c>
      <c r="D47" s="159" t="s">
        <v>74</v>
      </c>
      <c r="E47" s="160" t="s">
        <v>379</v>
      </c>
      <c r="F47" s="161" t="s">
        <v>380</v>
      </c>
      <c r="G47" s="162" t="s">
        <v>381</v>
      </c>
      <c r="H47" s="162" t="s">
        <v>382</v>
      </c>
      <c r="I47" s="162" t="s">
        <v>383</v>
      </c>
      <c r="J47" s="162" t="s">
        <v>384</v>
      </c>
      <c r="K47" s="162" t="s">
        <v>525</v>
      </c>
      <c r="M47" s="160" t="s">
        <v>379</v>
      </c>
    </row>
    <row r="48" spans="2:13" x14ac:dyDescent="0.25">
      <c r="B48" s="176" t="s">
        <v>385</v>
      </c>
      <c r="C48" s="172"/>
      <c r="D48" s="172"/>
      <c r="E48" s="173" t="s">
        <v>390</v>
      </c>
      <c r="F48" s="174"/>
      <c r="G48" s="175" t="s">
        <v>474</v>
      </c>
      <c r="H48" s="175"/>
      <c r="I48" s="175"/>
      <c r="J48" s="175"/>
      <c r="K48" s="175"/>
      <c r="M48" s="173" t="s">
        <v>390</v>
      </c>
    </row>
    <row r="49" spans="2:15" x14ac:dyDescent="0.25">
      <c r="B49" s="171" t="s">
        <v>386</v>
      </c>
      <c r="C49" s="172"/>
      <c r="D49" s="172"/>
      <c r="E49" s="173"/>
      <c r="F49" s="174"/>
      <c r="G49" s="175"/>
      <c r="H49" s="175"/>
      <c r="I49" s="175"/>
      <c r="J49" s="175"/>
      <c r="K49" s="175"/>
      <c r="M49" s="173" t="s">
        <v>391</v>
      </c>
    </row>
    <row r="50" spans="2:15" x14ac:dyDescent="0.25">
      <c r="B50" s="171" t="s">
        <v>387</v>
      </c>
      <c r="C50" s="172"/>
      <c r="D50" s="172"/>
      <c r="E50" s="173"/>
      <c r="F50" s="174"/>
      <c r="G50" s="175"/>
      <c r="H50" s="175"/>
      <c r="I50" s="175"/>
      <c r="J50" s="175"/>
      <c r="K50" s="175"/>
    </row>
    <row r="51" spans="2:15" ht="14.4" x14ac:dyDescent="0.3">
      <c r="B51" s="171" t="s">
        <v>388</v>
      </c>
      <c r="C51" s="172"/>
      <c r="D51" s="172"/>
      <c r="E51" s="173"/>
      <c r="F51" s="174"/>
      <c r="G51" s="175"/>
      <c r="H51" s="175"/>
      <c r="I51" s="175"/>
      <c r="J51" s="175"/>
      <c r="K51" s="175"/>
      <c r="M51" s="176"/>
      <c r="N51" s="163" t="s">
        <v>392</v>
      </c>
      <c r="O51" s="164"/>
    </row>
    <row r="52" spans="2:15" ht="14.4" x14ac:dyDescent="0.3">
      <c r="B52" s="171" t="s">
        <v>389</v>
      </c>
      <c r="C52" s="172"/>
      <c r="D52" s="172"/>
      <c r="E52" s="173"/>
      <c r="F52" s="174"/>
      <c r="G52" s="175"/>
      <c r="H52" s="175"/>
      <c r="I52" s="175"/>
      <c r="J52" s="175"/>
      <c r="K52" s="175"/>
      <c r="M52" s="171"/>
      <c r="N52" s="163" t="s">
        <v>393</v>
      </c>
      <c r="O52" s="164"/>
    </row>
    <row r="53" spans="2:15" x14ac:dyDescent="0.25">
      <c r="B53" s="171" t="s">
        <v>520</v>
      </c>
      <c r="C53" s="172"/>
      <c r="D53" s="172"/>
      <c r="E53" s="173"/>
      <c r="F53" s="174"/>
      <c r="G53" s="175"/>
      <c r="H53" s="175"/>
      <c r="I53" s="175"/>
      <c r="J53" s="175"/>
      <c r="K53" s="175"/>
    </row>
    <row r="54" spans="2:15" x14ac:dyDescent="0.25">
      <c r="B54" s="171" t="s">
        <v>521</v>
      </c>
      <c r="C54" s="172"/>
      <c r="D54" s="172"/>
      <c r="E54" s="173"/>
      <c r="F54" s="174"/>
      <c r="G54" s="175"/>
      <c r="H54" s="175"/>
      <c r="I54" s="175"/>
      <c r="J54" s="175"/>
      <c r="K54" s="175"/>
    </row>
    <row r="55" spans="2:15" x14ac:dyDescent="0.25">
      <c r="B55" s="171" t="s">
        <v>522</v>
      </c>
      <c r="C55" s="172"/>
      <c r="D55" s="172"/>
      <c r="E55" s="173"/>
      <c r="F55" s="174"/>
      <c r="G55" s="175"/>
      <c r="H55" s="175"/>
      <c r="I55" s="175"/>
      <c r="J55" s="175"/>
      <c r="K55" s="175"/>
    </row>
    <row r="56" spans="2:15" x14ac:dyDescent="0.25">
      <c r="B56" s="171" t="s">
        <v>523</v>
      </c>
      <c r="C56" s="172"/>
      <c r="D56" s="172"/>
      <c r="E56" s="173"/>
      <c r="F56" s="174"/>
      <c r="G56" s="175"/>
      <c r="H56" s="175"/>
      <c r="I56" s="175"/>
      <c r="J56" s="175"/>
      <c r="K56" s="175"/>
    </row>
    <row r="57" spans="2:15" x14ac:dyDescent="0.25">
      <c r="B57" s="171" t="s">
        <v>524</v>
      </c>
      <c r="C57" s="172"/>
      <c r="D57" s="172"/>
      <c r="E57" s="173"/>
      <c r="F57" s="174"/>
      <c r="G57" s="175"/>
      <c r="H57" s="175"/>
      <c r="I57" s="175"/>
      <c r="J57" s="175"/>
      <c r="K57" s="175"/>
    </row>
    <row r="58" spans="2:15" x14ac:dyDescent="0.25">
      <c r="B58" s="176" t="s">
        <v>419</v>
      </c>
      <c r="C58" s="173"/>
      <c r="D58" s="173"/>
      <c r="E58" s="173" t="s">
        <v>391</v>
      </c>
      <c r="F58" s="174"/>
      <c r="G58" s="175" t="s">
        <v>474</v>
      </c>
      <c r="H58" s="175"/>
      <c r="I58" s="175"/>
      <c r="J58" s="175"/>
      <c r="K58" s="173"/>
    </row>
    <row r="59" spans="2:15" x14ac:dyDescent="0.25">
      <c r="B59" s="176" t="s">
        <v>420</v>
      </c>
      <c r="C59" s="173"/>
      <c r="D59" s="173"/>
      <c r="E59" s="173" t="s">
        <v>391</v>
      </c>
      <c r="F59" s="174"/>
      <c r="G59" s="175" t="s">
        <v>474</v>
      </c>
      <c r="H59" s="175"/>
      <c r="I59" s="175"/>
      <c r="J59" s="175"/>
      <c r="K59" s="173"/>
    </row>
    <row r="60" spans="2:15" x14ac:dyDescent="0.25">
      <c r="B60" s="176" t="s">
        <v>421</v>
      </c>
      <c r="C60" s="173"/>
      <c r="D60" s="173"/>
      <c r="E60" s="173" t="s">
        <v>391</v>
      </c>
      <c r="F60" s="174"/>
      <c r="G60" s="175" t="s">
        <v>474</v>
      </c>
      <c r="H60" s="175"/>
      <c r="I60" s="175"/>
      <c r="J60" s="175"/>
      <c r="K60" s="173"/>
    </row>
    <row r="61" spans="2:15" x14ac:dyDescent="0.25">
      <c r="B61" s="176" t="s">
        <v>422</v>
      </c>
      <c r="C61" s="173"/>
      <c r="D61" s="173"/>
      <c r="E61" s="173" t="s">
        <v>391</v>
      </c>
      <c r="F61" s="174"/>
      <c r="G61" s="175" t="s">
        <v>474</v>
      </c>
      <c r="H61" s="175"/>
      <c r="I61" s="175"/>
      <c r="J61" s="175"/>
      <c r="K61" s="173"/>
    </row>
    <row r="62" spans="2:15" x14ac:dyDescent="0.25">
      <c r="B62" s="176" t="s">
        <v>423</v>
      </c>
      <c r="C62" s="173"/>
      <c r="D62" s="173"/>
      <c r="E62" s="173" t="s">
        <v>391</v>
      </c>
      <c r="F62" s="174"/>
      <c r="G62" s="175" t="s">
        <v>474</v>
      </c>
      <c r="H62" s="175"/>
      <c r="I62" s="175"/>
      <c r="J62" s="175"/>
      <c r="K62" s="173"/>
    </row>
    <row r="63" spans="2:15" x14ac:dyDescent="0.25">
      <c r="B63" s="171" t="s">
        <v>424</v>
      </c>
      <c r="C63" s="173"/>
      <c r="D63" s="173"/>
      <c r="E63" s="173"/>
      <c r="F63" s="174"/>
      <c r="G63" s="175"/>
      <c r="H63" s="175"/>
      <c r="I63" s="175"/>
      <c r="J63" s="175"/>
      <c r="K63" s="173"/>
    </row>
    <row r="64" spans="2:15" x14ac:dyDescent="0.25">
      <c r="B64" s="171" t="s">
        <v>425</v>
      </c>
      <c r="C64" s="173"/>
      <c r="D64" s="173"/>
      <c r="E64" s="173"/>
      <c r="F64" s="174"/>
      <c r="G64" s="175"/>
      <c r="H64" s="175"/>
      <c r="I64" s="175"/>
      <c r="J64" s="175"/>
      <c r="K64" s="173"/>
    </row>
    <row r="65" spans="2:11" x14ac:dyDescent="0.25">
      <c r="B65" s="171" t="s">
        <v>426</v>
      </c>
      <c r="C65" s="173"/>
      <c r="D65" s="173"/>
      <c r="E65" s="173"/>
      <c r="F65" s="174"/>
      <c r="G65" s="175"/>
      <c r="H65" s="175"/>
      <c r="I65" s="175"/>
      <c r="J65" s="175"/>
      <c r="K65" s="173"/>
    </row>
    <row r="66" spans="2:11" x14ac:dyDescent="0.25">
      <c r="B66" s="171" t="s">
        <v>427</v>
      </c>
      <c r="C66" s="173"/>
      <c r="D66" s="173"/>
      <c r="E66" s="173"/>
      <c r="F66" s="174"/>
      <c r="G66" s="175"/>
      <c r="H66" s="175"/>
      <c r="I66" s="175"/>
      <c r="J66" s="175"/>
      <c r="K66" s="173"/>
    </row>
    <row r="67" spans="2:11" x14ac:dyDescent="0.25">
      <c r="B67" s="171" t="s">
        <v>428</v>
      </c>
      <c r="C67" s="173"/>
      <c r="D67" s="173"/>
      <c r="E67" s="173"/>
      <c r="F67" s="174"/>
      <c r="G67" s="175"/>
      <c r="H67" s="175"/>
      <c r="I67" s="175"/>
      <c r="J67" s="175"/>
      <c r="K67" s="173"/>
    </row>
    <row r="68" spans="2:11" x14ac:dyDescent="0.25">
      <c r="B68" s="171" t="s">
        <v>429</v>
      </c>
      <c r="C68" s="173"/>
      <c r="D68" s="173"/>
      <c r="E68" s="173"/>
      <c r="F68" s="174"/>
      <c r="G68" s="175"/>
      <c r="H68" s="175"/>
      <c r="I68" s="175"/>
      <c r="J68" s="175"/>
      <c r="K68" s="173"/>
    </row>
    <row r="69" spans="2:11" x14ac:dyDescent="0.25">
      <c r="B69" s="171" t="s">
        <v>430</v>
      </c>
      <c r="C69" s="173"/>
      <c r="D69" s="173"/>
      <c r="E69" s="173"/>
      <c r="F69" s="174"/>
      <c r="G69" s="175"/>
      <c r="H69" s="175"/>
      <c r="I69" s="175"/>
      <c r="J69" s="175"/>
      <c r="K69" s="173"/>
    </row>
    <row r="70" spans="2:11" x14ac:dyDescent="0.25">
      <c r="B70" s="171" t="s">
        <v>431</v>
      </c>
      <c r="C70" s="173"/>
      <c r="D70" s="173"/>
      <c r="E70" s="173"/>
      <c r="F70" s="174"/>
      <c r="G70" s="175"/>
      <c r="H70" s="175"/>
      <c r="I70" s="175"/>
      <c r="J70" s="175"/>
      <c r="K70" s="173"/>
    </row>
    <row r="71" spans="2:11" x14ac:dyDescent="0.25">
      <c r="B71" s="171" t="s">
        <v>432</v>
      </c>
      <c r="C71" s="173"/>
      <c r="D71" s="173"/>
      <c r="E71" s="173"/>
      <c r="F71" s="174"/>
      <c r="G71" s="175"/>
      <c r="H71" s="175"/>
      <c r="I71" s="175"/>
      <c r="J71" s="175"/>
      <c r="K71" s="173"/>
    </row>
    <row r="72" spans="2:11" x14ac:dyDescent="0.25">
      <c r="B72" s="171" t="s">
        <v>433</v>
      </c>
      <c r="C72" s="173"/>
      <c r="D72" s="173"/>
      <c r="E72" s="173"/>
      <c r="F72" s="174"/>
      <c r="G72" s="175"/>
      <c r="H72" s="175"/>
      <c r="I72" s="175"/>
      <c r="J72" s="175"/>
      <c r="K72" s="173"/>
    </row>
    <row r="73" spans="2:11" x14ac:dyDescent="0.25">
      <c r="B73" s="171" t="s">
        <v>434</v>
      </c>
      <c r="C73" s="173"/>
      <c r="D73" s="173"/>
      <c r="E73" s="173"/>
      <c r="F73" s="174"/>
      <c r="G73" s="175"/>
      <c r="H73" s="175"/>
      <c r="I73" s="175"/>
      <c r="J73" s="175"/>
      <c r="K73" s="173"/>
    </row>
    <row r="74" spans="2:11" x14ac:dyDescent="0.25">
      <c r="B74" s="171" t="s">
        <v>435</v>
      </c>
      <c r="C74" s="173"/>
      <c r="D74" s="173"/>
      <c r="E74" s="173"/>
      <c r="F74" s="174"/>
      <c r="G74" s="175"/>
      <c r="H74" s="175"/>
      <c r="I74" s="175"/>
      <c r="J74" s="175"/>
      <c r="K74" s="173"/>
    </row>
    <row r="75" spans="2:11" x14ac:dyDescent="0.25">
      <c r="B75" s="171" t="s">
        <v>436</v>
      </c>
      <c r="C75" s="173"/>
      <c r="D75" s="173"/>
      <c r="E75" s="173"/>
      <c r="F75" s="174"/>
      <c r="G75" s="175"/>
      <c r="H75" s="175"/>
      <c r="I75" s="175"/>
      <c r="J75" s="175"/>
      <c r="K75" s="173"/>
    </row>
    <row r="76" spans="2:11" x14ac:dyDescent="0.25">
      <c r="B76" s="171" t="s">
        <v>437</v>
      </c>
      <c r="C76" s="173"/>
      <c r="D76" s="173"/>
      <c r="E76" s="173"/>
      <c r="F76" s="174"/>
      <c r="G76" s="175"/>
      <c r="H76" s="175"/>
      <c r="I76" s="175"/>
      <c r="J76" s="175"/>
      <c r="K76" s="173"/>
    </row>
    <row r="77" spans="2:11" x14ac:dyDescent="0.25">
      <c r="B77" s="171" t="s">
        <v>438</v>
      </c>
      <c r="C77" s="173"/>
      <c r="D77" s="173"/>
      <c r="E77" s="173"/>
      <c r="F77" s="174"/>
      <c r="G77" s="175"/>
      <c r="H77" s="175"/>
      <c r="I77" s="175"/>
      <c r="J77" s="175"/>
      <c r="K77" s="173"/>
    </row>
    <row r="78" spans="2:11" x14ac:dyDescent="0.25">
      <c r="B78" s="171" t="s">
        <v>439</v>
      </c>
      <c r="C78" s="173"/>
      <c r="D78" s="173"/>
      <c r="E78" s="173"/>
      <c r="F78" s="174"/>
      <c r="G78" s="175"/>
      <c r="H78" s="175"/>
      <c r="I78" s="175"/>
      <c r="J78" s="175"/>
      <c r="K78" s="173"/>
    </row>
    <row r="79" spans="2:11" x14ac:dyDescent="0.25">
      <c r="B79" s="171" t="s">
        <v>440</v>
      </c>
      <c r="C79" s="173"/>
      <c r="D79" s="173"/>
      <c r="E79" s="173"/>
      <c r="F79" s="174"/>
      <c r="G79" s="175"/>
      <c r="H79" s="175"/>
      <c r="I79" s="175"/>
      <c r="J79" s="175"/>
      <c r="K79" s="173"/>
    </row>
    <row r="80" spans="2:11" x14ac:dyDescent="0.25">
      <c r="B80" s="171" t="s">
        <v>441</v>
      </c>
      <c r="C80" s="173"/>
      <c r="D80" s="173"/>
      <c r="E80" s="173"/>
      <c r="F80" s="174"/>
      <c r="G80" s="175"/>
      <c r="H80" s="175"/>
      <c r="I80" s="175"/>
      <c r="J80" s="175"/>
      <c r="K80" s="173"/>
    </row>
    <row r="81" spans="2:11" x14ac:dyDescent="0.25">
      <c r="B81" s="171" t="s">
        <v>442</v>
      </c>
      <c r="C81" s="173"/>
      <c r="D81" s="173"/>
      <c r="E81" s="173"/>
      <c r="F81" s="174"/>
      <c r="G81" s="175"/>
      <c r="H81" s="175"/>
      <c r="I81" s="175"/>
      <c r="J81" s="175"/>
      <c r="K81" s="173"/>
    </row>
    <row r="82" spans="2:11" x14ac:dyDescent="0.25">
      <c r="B82" s="171" t="s">
        <v>443</v>
      </c>
      <c r="C82" s="173"/>
      <c r="D82" s="173"/>
      <c r="E82" s="173"/>
      <c r="F82" s="174"/>
      <c r="G82" s="175"/>
      <c r="H82" s="175"/>
      <c r="I82" s="175"/>
      <c r="J82" s="175"/>
      <c r="K82" s="173"/>
    </row>
    <row r="83" spans="2:11" x14ac:dyDescent="0.25">
      <c r="B83" s="171" t="s">
        <v>444</v>
      </c>
      <c r="C83" s="173"/>
      <c r="D83" s="173"/>
      <c r="E83" s="173"/>
      <c r="F83" s="174"/>
      <c r="G83" s="175"/>
      <c r="H83" s="175"/>
      <c r="I83" s="175"/>
      <c r="J83" s="175"/>
      <c r="K83" s="173"/>
    </row>
    <row r="84" spans="2:11" x14ac:dyDescent="0.25">
      <c r="B84" s="171" t="s">
        <v>445</v>
      </c>
      <c r="C84" s="173"/>
      <c r="D84" s="173"/>
      <c r="E84" s="173"/>
      <c r="F84" s="174"/>
      <c r="G84" s="175"/>
      <c r="H84" s="175"/>
      <c r="I84" s="175"/>
      <c r="J84" s="175"/>
      <c r="K84" s="173"/>
    </row>
    <row r="85" spans="2:11" x14ac:dyDescent="0.25">
      <c r="B85" s="171" t="s">
        <v>446</v>
      </c>
      <c r="C85" s="173"/>
      <c r="D85" s="173"/>
      <c r="E85" s="173"/>
      <c r="F85" s="174"/>
      <c r="G85" s="175"/>
      <c r="H85" s="175"/>
      <c r="I85" s="175"/>
      <c r="J85" s="175"/>
      <c r="K85" s="173"/>
    </row>
    <row r="86" spans="2:11" x14ac:dyDescent="0.25">
      <c r="B86" s="171" t="s">
        <v>447</v>
      </c>
      <c r="C86" s="173"/>
      <c r="D86" s="173"/>
      <c r="E86" s="173"/>
      <c r="F86" s="174"/>
      <c r="G86" s="175"/>
      <c r="H86" s="175"/>
      <c r="I86" s="175"/>
      <c r="J86" s="175"/>
      <c r="K86" s="173"/>
    </row>
    <row r="87" spans="2:11" x14ac:dyDescent="0.25">
      <c r="B87" s="171" t="s">
        <v>448</v>
      </c>
      <c r="C87" s="173"/>
      <c r="D87" s="173"/>
      <c r="E87" s="173"/>
      <c r="F87" s="174"/>
      <c r="G87" s="175"/>
      <c r="H87" s="175"/>
      <c r="I87" s="175"/>
      <c r="J87" s="175"/>
      <c r="K87" s="173"/>
    </row>
    <row r="88" spans="2:11" x14ac:dyDescent="0.25">
      <c r="B88" s="171" t="s">
        <v>449</v>
      </c>
      <c r="C88" s="173"/>
      <c r="D88" s="173"/>
      <c r="E88" s="173"/>
      <c r="F88" s="174"/>
      <c r="G88" s="175"/>
      <c r="H88" s="175"/>
      <c r="I88" s="175"/>
      <c r="J88" s="175"/>
      <c r="K88" s="173"/>
    </row>
    <row r="89" spans="2:11" x14ac:dyDescent="0.25">
      <c r="B89" s="171" t="s">
        <v>450</v>
      </c>
      <c r="C89" s="173"/>
      <c r="D89" s="173"/>
      <c r="E89" s="173"/>
      <c r="F89" s="174"/>
      <c r="G89" s="175"/>
      <c r="H89" s="175"/>
      <c r="I89" s="175"/>
      <c r="J89" s="175"/>
      <c r="K89" s="173"/>
    </row>
    <row r="90" spans="2:11" x14ac:dyDescent="0.25">
      <c r="B90" s="171" t="s">
        <v>451</v>
      </c>
      <c r="C90" s="173"/>
      <c r="D90" s="173"/>
      <c r="E90" s="173"/>
      <c r="F90" s="174"/>
      <c r="G90" s="175"/>
      <c r="H90" s="175"/>
      <c r="I90" s="175"/>
      <c r="J90" s="175"/>
      <c r="K90" s="173"/>
    </row>
    <row r="91" spans="2:11" x14ac:dyDescent="0.25">
      <c r="B91" s="171" t="s">
        <v>452</v>
      </c>
      <c r="C91" s="173"/>
      <c r="D91" s="173"/>
      <c r="E91" s="173"/>
      <c r="F91" s="174"/>
      <c r="G91" s="175"/>
      <c r="H91" s="175"/>
      <c r="I91" s="175"/>
      <c r="J91" s="175"/>
      <c r="K91" s="173"/>
    </row>
    <row r="92" spans="2:11" x14ac:dyDescent="0.25">
      <c r="B92" s="171" t="s">
        <v>453</v>
      </c>
      <c r="C92" s="173"/>
      <c r="D92" s="173"/>
      <c r="E92" s="173"/>
      <c r="F92" s="174"/>
      <c r="G92" s="175"/>
      <c r="H92" s="175"/>
      <c r="I92" s="175"/>
      <c r="J92" s="175"/>
      <c r="K92" s="173"/>
    </row>
    <row r="93" spans="2:11" x14ac:dyDescent="0.25">
      <c r="B93" s="171" t="s">
        <v>454</v>
      </c>
      <c r="C93" s="173"/>
      <c r="D93" s="173"/>
      <c r="E93" s="173"/>
      <c r="F93" s="174"/>
      <c r="G93" s="175"/>
      <c r="H93" s="175"/>
      <c r="I93" s="175"/>
      <c r="J93" s="175"/>
      <c r="K93" s="173"/>
    </row>
    <row r="94" spans="2:11" x14ac:dyDescent="0.25">
      <c r="B94" s="171" t="s">
        <v>455</v>
      </c>
      <c r="C94" s="173"/>
      <c r="D94" s="173"/>
      <c r="E94" s="173"/>
      <c r="F94" s="174"/>
      <c r="G94" s="175"/>
      <c r="H94" s="175"/>
      <c r="I94" s="175"/>
      <c r="J94" s="175"/>
      <c r="K94" s="173"/>
    </row>
    <row r="95" spans="2:11" x14ac:dyDescent="0.25">
      <c r="B95" s="171" t="s">
        <v>456</v>
      </c>
      <c r="C95" s="173"/>
      <c r="D95" s="173"/>
      <c r="E95" s="173"/>
      <c r="F95" s="174"/>
      <c r="G95" s="175"/>
      <c r="H95" s="175"/>
      <c r="I95" s="175"/>
      <c r="J95" s="175"/>
      <c r="K95" s="173"/>
    </row>
    <row r="96" spans="2:11" x14ac:dyDescent="0.25">
      <c r="B96" s="171" t="s">
        <v>457</v>
      </c>
      <c r="C96" s="173"/>
      <c r="D96" s="173"/>
      <c r="E96" s="173"/>
      <c r="F96" s="174"/>
      <c r="G96" s="175"/>
      <c r="H96" s="175"/>
      <c r="I96" s="175"/>
      <c r="J96" s="175"/>
      <c r="K96" s="173"/>
    </row>
    <row r="97" spans="2:11" x14ac:dyDescent="0.25">
      <c r="B97" s="171" t="s">
        <v>458</v>
      </c>
      <c r="C97" s="173"/>
      <c r="D97" s="173"/>
      <c r="E97" s="173"/>
      <c r="F97" s="174"/>
      <c r="G97" s="175"/>
      <c r="H97" s="175"/>
      <c r="I97" s="175"/>
      <c r="J97" s="175"/>
      <c r="K97" s="173"/>
    </row>
    <row r="98" spans="2:11" x14ac:dyDescent="0.25">
      <c r="B98" s="171" t="s">
        <v>459</v>
      </c>
      <c r="C98" s="173"/>
      <c r="D98" s="173"/>
      <c r="E98" s="173"/>
      <c r="F98" s="174"/>
      <c r="G98" s="175"/>
      <c r="H98" s="175"/>
      <c r="I98" s="175"/>
      <c r="J98" s="175"/>
      <c r="K98" s="173"/>
    </row>
    <row r="99" spans="2:11" x14ac:dyDescent="0.25">
      <c r="B99" s="171" t="s">
        <v>460</v>
      </c>
      <c r="C99" s="173"/>
      <c r="D99" s="173"/>
      <c r="E99" s="173"/>
      <c r="F99" s="174"/>
      <c r="G99" s="175"/>
      <c r="H99" s="175"/>
      <c r="I99" s="175"/>
      <c r="J99" s="175"/>
      <c r="K99" s="173"/>
    </row>
    <row r="100" spans="2:11" x14ac:dyDescent="0.25">
      <c r="B100" s="171" t="s">
        <v>461</v>
      </c>
      <c r="C100" s="173"/>
      <c r="D100" s="173"/>
      <c r="E100" s="173"/>
      <c r="F100" s="174"/>
      <c r="G100" s="175"/>
      <c r="H100" s="175"/>
      <c r="I100" s="175"/>
      <c r="J100" s="175"/>
      <c r="K100" s="173"/>
    </row>
    <row r="101" spans="2:11" x14ac:dyDescent="0.25">
      <c r="B101" s="171" t="s">
        <v>462</v>
      </c>
      <c r="C101" s="173"/>
      <c r="D101" s="173"/>
      <c r="E101" s="173"/>
      <c r="F101" s="174"/>
      <c r="G101" s="175"/>
      <c r="H101" s="175"/>
      <c r="I101" s="175"/>
      <c r="J101" s="175"/>
      <c r="K101" s="173"/>
    </row>
    <row r="102" spans="2:11" x14ac:dyDescent="0.25">
      <c r="B102" s="171" t="s">
        <v>463</v>
      </c>
      <c r="C102" s="173"/>
      <c r="D102" s="173"/>
      <c r="E102" s="173"/>
      <c r="F102" s="174"/>
      <c r="G102" s="175"/>
      <c r="H102" s="175"/>
      <c r="I102" s="175"/>
      <c r="J102" s="175"/>
      <c r="K102" s="173"/>
    </row>
    <row r="103" spans="2:11" x14ac:dyDescent="0.25">
      <c r="B103" s="171" t="s">
        <v>464</v>
      </c>
      <c r="C103" s="173"/>
      <c r="D103" s="173"/>
      <c r="E103" s="173"/>
      <c r="F103" s="174"/>
      <c r="G103" s="175"/>
      <c r="H103" s="175"/>
      <c r="I103" s="175"/>
      <c r="J103" s="175"/>
      <c r="K103" s="173"/>
    </row>
    <row r="104" spans="2:11" x14ac:dyDescent="0.25">
      <c r="B104" s="171" t="s">
        <v>465</v>
      </c>
      <c r="C104" s="173"/>
      <c r="D104" s="173"/>
      <c r="E104" s="173"/>
      <c r="F104" s="174"/>
      <c r="G104" s="175"/>
      <c r="H104" s="175"/>
      <c r="I104" s="175"/>
      <c r="J104" s="175"/>
      <c r="K104" s="173"/>
    </row>
    <row r="105" spans="2:11" x14ac:dyDescent="0.25">
      <c r="B105" s="171" t="s">
        <v>466</v>
      </c>
      <c r="C105" s="173"/>
      <c r="D105" s="173"/>
      <c r="E105" s="173"/>
      <c r="F105" s="174"/>
      <c r="G105" s="175"/>
      <c r="H105" s="175"/>
      <c r="I105" s="175"/>
      <c r="J105" s="175"/>
      <c r="K105" s="173"/>
    </row>
    <row r="106" spans="2:11" x14ac:dyDescent="0.25">
      <c r="B106" s="171" t="s">
        <v>467</v>
      </c>
      <c r="C106" s="173"/>
      <c r="D106" s="173"/>
      <c r="E106" s="173"/>
      <c r="F106" s="174"/>
      <c r="G106" s="175"/>
      <c r="H106" s="175"/>
      <c r="I106" s="175"/>
      <c r="J106" s="175"/>
      <c r="K106" s="173"/>
    </row>
    <row r="107" spans="2:11" x14ac:dyDescent="0.25">
      <c r="B107" s="171" t="s">
        <v>468</v>
      </c>
      <c r="C107" s="173"/>
      <c r="D107" s="173"/>
      <c r="E107" s="173"/>
      <c r="F107" s="174"/>
      <c r="G107" s="175"/>
      <c r="H107" s="175"/>
      <c r="I107" s="175"/>
      <c r="J107" s="175"/>
      <c r="K107" s="173"/>
    </row>
    <row r="108" spans="2:11" x14ac:dyDescent="0.25">
      <c r="B108" s="171" t="s">
        <v>469</v>
      </c>
      <c r="C108" s="173"/>
      <c r="D108" s="173"/>
      <c r="E108" s="173"/>
      <c r="F108" s="174"/>
      <c r="G108" s="175"/>
      <c r="H108" s="175"/>
      <c r="I108" s="175"/>
      <c r="J108" s="175"/>
      <c r="K108" s="173"/>
    </row>
    <row r="109" spans="2:11" x14ac:dyDescent="0.25">
      <c r="B109" s="171" t="s">
        <v>470</v>
      </c>
      <c r="C109" s="173"/>
      <c r="D109" s="173"/>
      <c r="E109" s="173"/>
      <c r="F109" s="174"/>
      <c r="G109" s="175"/>
      <c r="H109" s="175"/>
      <c r="I109" s="175"/>
      <c r="J109" s="175"/>
      <c r="K109" s="173"/>
    </row>
    <row r="110" spans="2:11" x14ac:dyDescent="0.25">
      <c r="B110" s="171" t="s">
        <v>471</v>
      </c>
      <c r="C110" s="173"/>
      <c r="D110" s="173"/>
      <c r="E110" s="173"/>
      <c r="F110" s="174"/>
      <c r="G110" s="175"/>
      <c r="H110" s="175"/>
      <c r="I110" s="175"/>
      <c r="J110" s="175"/>
      <c r="K110" s="173"/>
    </row>
    <row r="111" spans="2:11" x14ac:dyDescent="0.25">
      <c r="B111" s="171" t="s">
        <v>472</v>
      </c>
      <c r="C111" s="173"/>
      <c r="D111" s="173"/>
      <c r="E111" s="173"/>
      <c r="F111" s="174"/>
      <c r="G111" s="175"/>
      <c r="H111" s="175"/>
      <c r="I111" s="175"/>
      <c r="J111" s="175"/>
      <c r="K111" s="173"/>
    </row>
    <row r="112" spans="2:11" x14ac:dyDescent="0.25">
      <c r="B112" s="171" t="s">
        <v>473</v>
      </c>
      <c r="C112" s="173"/>
      <c r="D112" s="173"/>
      <c r="E112" s="173"/>
      <c r="F112" s="174"/>
      <c r="G112" s="175"/>
      <c r="H112" s="175"/>
      <c r="I112" s="175"/>
      <c r="J112" s="175"/>
      <c r="K112" s="173"/>
    </row>
  </sheetData>
  <sheetProtection selectLockedCells="1"/>
  <mergeCells count="54">
    <mergeCell ref="G22:H22"/>
    <mergeCell ref="I17:K17"/>
    <mergeCell ref="I18:K18"/>
    <mergeCell ref="I19:K19"/>
    <mergeCell ref="I20:K20"/>
    <mergeCell ref="I21:K21"/>
    <mergeCell ref="I22:K22"/>
    <mergeCell ref="G21:H21"/>
    <mergeCell ref="G17:H17"/>
    <mergeCell ref="G18:H18"/>
    <mergeCell ref="G19:H19"/>
    <mergeCell ref="G20:H20"/>
    <mergeCell ref="C17:F17"/>
    <mergeCell ref="C18:F18"/>
    <mergeCell ref="C19:F19"/>
    <mergeCell ref="C20:F20"/>
    <mergeCell ref="B37:C44"/>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B1:K1"/>
    <mergeCell ref="C2:K2"/>
    <mergeCell ref="C3:K3"/>
    <mergeCell ref="C4:K4"/>
    <mergeCell ref="C5:K5"/>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2">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F33:K36">
      <formula1>Modele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78" t="s">
        <v>4</v>
      </c>
      <c r="C1" s="179"/>
      <c r="D1" s="179"/>
      <c r="E1" s="179"/>
      <c r="F1" s="179"/>
      <c r="G1" s="179"/>
      <c r="H1" s="180"/>
    </row>
    <row r="2" spans="2:8" x14ac:dyDescent="0.25">
      <c r="B2" s="97" t="s">
        <v>5</v>
      </c>
      <c r="C2" s="247" t="str">
        <f>Protocole!C2</f>
        <v>Moissenet</v>
      </c>
      <c r="D2" s="247"/>
      <c r="E2" s="247"/>
      <c r="F2" s="247"/>
      <c r="G2" s="247"/>
      <c r="H2" s="248"/>
    </row>
    <row r="3" spans="2:8" x14ac:dyDescent="0.25">
      <c r="B3" s="98" t="s">
        <v>6</v>
      </c>
      <c r="C3" s="253" t="str">
        <f>Protocole!C3</f>
        <v>Florent</v>
      </c>
      <c r="D3" s="253"/>
      <c r="E3" s="253"/>
      <c r="F3" s="253"/>
      <c r="G3" s="253"/>
      <c r="H3" s="254"/>
    </row>
    <row r="4" spans="2:8" x14ac:dyDescent="0.25">
      <c r="B4" s="98" t="s">
        <v>7</v>
      </c>
      <c r="C4" s="253" t="str">
        <f>Protocole!C4</f>
        <v>Homme</v>
      </c>
      <c r="D4" s="253"/>
      <c r="E4" s="253"/>
      <c r="F4" s="253"/>
      <c r="G4" s="253"/>
      <c r="H4" s="254"/>
    </row>
    <row r="5" spans="2:8" x14ac:dyDescent="0.25">
      <c r="B5" s="98" t="s">
        <v>14</v>
      </c>
      <c r="C5" s="255">
        <f>INT(_xlfn.DAYS(Protocole!C27,Protocole!C5)/365.25)</f>
        <v>35</v>
      </c>
      <c r="D5" s="255"/>
      <c r="E5" s="255"/>
      <c r="F5" s="255"/>
      <c r="G5" s="255"/>
      <c r="H5" s="256"/>
    </row>
    <row r="6" spans="2:8" ht="14.4" thickBot="1" x14ac:dyDescent="0.3">
      <c r="B6" s="99" t="s">
        <v>17</v>
      </c>
      <c r="C6" s="257" t="str">
        <f>Protocole!C10</f>
        <v>Aucune</v>
      </c>
      <c r="D6" s="257"/>
      <c r="E6" s="257"/>
      <c r="F6" s="257"/>
      <c r="G6" s="257"/>
      <c r="H6" s="258"/>
    </row>
    <row r="7" spans="2:8" ht="10.050000000000001" customHeight="1" thickBot="1" x14ac:dyDescent="0.3">
      <c r="B7" s="100"/>
      <c r="C7" s="100"/>
      <c r="D7" s="100"/>
      <c r="E7" s="100"/>
      <c r="F7" s="100"/>
      <c r="G7" s="100"/>
      <c r="H7" s="100"/>
    </row>
    <row r="8" spans="2:8" ht="14.4" thickBot="1" x14ac:dyDescent="0.3">
      <c r="B8" s="178" t="s">
        <v>9</v>
      </c>
      <c r="C8" s="179"/>
      <c r="D8" s="179"/>
      <c r="E8" s="179"/>
      <c r="F8" s="179"/>
      <c r="G8" s="179"/>
      <c r="H8" s="180"/>
    </row>
    <row r="9" spans="2:8" x14ac:dyDescent="0.25">
      <c r="B9" s="101" t="s">
        <v>1</v>
      </c>
      <c r="C9" s="245" t="str">
        <f>Protocole!C25</f>
        <v>F. Chantraine</v>
      </c>
      <c r="D9" s="245"/>
      <c r="E9" s="245"/>
      <c r="F9" s="245"/>
      <c r="G9" s="245"/>
      <c r="H9" s="246"/>
    </row>
    <row r="10" spans="2:8" x14ac:dyDescent="0.25">
      <c r="B10" s="102" t="s">
        <v>10</v>
      </c>
      <c r="C10" s="247" t="str">
        <f>Protocole!C26</f>
        <v>A. Remacle</v>
      </c>
      <c r="D10" s="247"/>
      <c r="E10" s="247"/>
      <c r="F10" s="247"/>
      <c r="G10" s="247"/>
      <c r="H10" s="248"/>
    </row>
    <row r="11" spans="2:8" x14ac:dyDescent="0.25">
      <c r="B11" s="102" t="s">
        <v>0</v>
      </c>
      <c r="C11" s="249">
        <f>Protocole!C27</f>
        <v>43236</v>
      </c>
      <c r="D11" s="249"/>
      <c r="E11" s="249"/>
      <c r="F11" s="249"/>
      <c r="G11" s="249"/>
      <c r="H11" s="250"/>
    </row>
    <row r="12" spans="2:8" x14ac:dyDescent="0.25">
      <c r="B12" s="102" t="s">
        <v>11</v>
      </c>
      <c r="C12" s="247" t="str">
        <f>Protocole!C28</f>
        <v>Expertise</v>
      </c>
      <c r="D12" s="247"/>
      <c r="E12" s="247"/>
      <c r="F12" s="247"/>
      <c r="G12" s="247"/>
      <c r="H12" s="248"/>
    </row>
    <row r="13" spans="2:8" ht="76.8" customHeight="1" thickBot="1" x14ac:dyDescent="0.3">
      <c r="B13" s="103" t="s">
        <v>25</v>
      </c>
      <c r="C13" s="251" t="str">
        <f>Protocole!C29</f>
        <v>Test fiche</v>
      </c>
      <c r="D13" s="251"/>
      <c r="E13" s="251"/>
      <c r="F13" s="251"/>
      <c r="G13" s="251"/>
      <c r="H13" s="252"/>
    </row>
    <row r="14" spans="2:8" ht="10.050000000000001" customHeight="1" thickBot="1" x14ac:dyDescent="0.3">
      <c r="B14" s="100"/>
      <c r="C14" s="100"/>
      <c r="D14" s="100"/>
      <c r="E14" s="100"/>
      <c r="F14" s="100"/>
      <c r="G14" s="100"/>
      <c r="H14" s="100"/>
    </row>
    <row r="15" spans="2:8" ht="14.4" thickBot="1" x14ac:dyDescent="0.3">
      <c r="B15" s="178" t="s">
        <v>12</v>
      </c>
      <c r="C15" s="179"/>
      <c r="D15" s="179"/>
      <c r="E15" s="179"/>
      <c r="F15" s="179"/>
      <c r="G15" s="179"/>
      <c r="H15" s="180"/>
    </row>
    <row r="16" spans="2:8" ht="7.95" customHeight="1" x14ac:dyDescent="0.25">
      <c r="B16" s="259"/>
      <c r="C16" s="259"/>
      <c r="D16" s="259"/>
      <c r="E16" s="259"/>
      <c r="F16" s="259"/>
      <c r="G16" s="259"/>
      <c r="H16" s="259"/>
    </row>
    <row r="17" spans="2:8" x14ac:dyDescent="0.25">
      <c r="B17" s="244" t="s">
        <v>13</v>
      </c>
      <c r="C17" s="244"/>
      <c r="D17" s="244"/>
      <c r="E17" s="244"/>
      <c r="F17" s="244"/>
      <c r="G17" s="244"/>
      <c r="H17" s="244"/>
    </row>
    <row r="18" spans="2:8" x14ac:dyDescent="0.25">
      <c r="B18" s="236" t="s">
        <v>39</v>
      </c>
      <c r="C18" s="237"/>
      <c r="D18" s="237"/>
      <c r="E18" s="237"/>
      <c r="F18" s="238"/>
      <c r="G18" s="104" t="s">
        <v>15</v>
      </c>
      <c r="H18" s="104" t="s">
        <v>43</v>
      </c>
    </row>
    <row r="19" spans="2:8" x14ac:dyDescent="0.25">
      <c r="B19" s="239" t="str">
        <f>'Evidence (0)'!C3</f>
        <v>NA</v>
      </c>
      <c r="C19" s="240"/>
      <c r="D19" s="240"/>
      <c r="E19" s="240"/>
      <c r="F19" s="241"/>
      <c r="G19" s="105">
        <f>'Evidence (0)'!F3</f>
        <v>0</v>
      </c>
      <c r="H19" s="105">
        <f>'Evidence (0)'!H3</f>
        <v>0</v>
      </c>
    </row>
    <row r="20" spans="2:8" x14ac:dyDescent="0.25">
      <c r="B20" s="239" t="str">
        <f>'Evidence (0)'!C28</f>
        <v>NA</v>
      </c>
      <c r="C20" s="240"/>
      <c r="D20" s="240"/>
      <c r="E20" s="240"/>
      <c r="F20" s="241"/>
      <c r="G20" s="105">
        <f>'Evidence (0)'!F28</f>
        <v>0</v>
      </c>
      <c r="H20" s="105">
        <f>'Evidence (0)'!H28</f>
        <v>0</v>
      </c>
    </row>
    <row r="21" spans="2:8" x14ac:dyDescent="0.25">
      <c r="B21" s="239" t="str">
        <f>'Evidence (1)'!C3</f>
        <v>NA</v>
      </c>
      <c r="C21" s="240"/>
      <c r="D21" s="240"/>
      <c r="E21" s="240"/>
      <c r="F21" s="241"/>
      <c r="G21" s="105">
        <f>'Evidence (1)'!F3</f>
        <v>0</v>
      </c>
      <c r="H21" s="105">
        <f>'Evidence (1)'!H3</f>
        <v>0</v>
      </c>
    </row>
    <row r="22" spans="2:8" x14ac:dyDescent="0.25">
      <c r="B22" s="239" t="str">
        <f>'Evidence (1)'!C28</f>
        <v>NA</v>
      </c>
      <c r="C22" s="240"/>
      <c r="D22" s="240"/>
      <c r="E22" s="240"/>
      <c r="F22" s="241"/>
      <c r="G22" s="105">
        <v>0</v>
      </c>
      <c r="H22" s="105">
        <v>0</v>
      </c>
    </row>
    <row r="23" spans="2:8" x14ac:dyDescent="0.25">
      <c r="B23" s="239" t="str">
        <f>'Evidence (2)'!C3</f>
        <v>NA</v>
      </c>
      <c r="C23" s="240"/>
      <c r="D23" s="240"/>
      <c r="E23" s="240"/>
      <c r="F23" s="241"/>
      <c r="G23" s="105">
        <f>'Evidence (2)'!F3</f>
        <v>0</v>
      </c>
      <c r="H23" s="105">
        <f>'Evidence (2)'!H3</f>
        <v>0</v>
      </c>
    </row>
    <row r="24" spans="2:8" x14ac:dyDescent="0.25">
      <c r="B24" s="239" t="str">
        <f>'Evidence (2)'!C28</f>
        <v>NA</v>
      </c>
      <c r="C24" s="240"/>
      <c r="D24" s="240"/>
      <c r="E24" s="240"/>
      <c r="F24" s="241"/>
      <c r="G24" s="105">
        <f>'Evidence (2)'!F28</f>
        <v>0</v>
      </c>
      <c r="H24" s="105">
        <f>'Evidence (2)'!H28</f>
        <v>0</v>
      </c>
    </row>
    <row r="25" spans="2:8" ht="7.95" customHeight="1" x14ac:dyDescent="0.25">
      <c r="B25" s="243"/>
      <c r="C25" s="243"/>
      <c r="D25" s="243"/>
      <c r="E25" s="243"/>
      <c r="F25" s="243"/>
      <c r="G25" s="243"/>
      <c r="H25" s="243"/>
    </row>
    <row r="26" spans="2:8" x14ac:dyDescent="0.25">
      <c r="B26" s="223" t="s">
        <v>23</v>
      </c>
      <c r="C26" s="223"/>
      <c r="D26" s="223"/>
      <c r="E26" s="223"/>
      <c r="F26" s="223"/>
      <c r="G26" s="223"/>
      <c r="H26" s="223"/>
    </row>
    <row r="27" spans="2:8" ht="169.8" customHeight="1" x14ac:dyDescent="0.25">
      <c r="B27" s="242"/>
      <c r="C27" s="242"/>
      <c r="D27" s="242"/>
      <c r="E27" s="242"/>
      <c r="F27" s="242"/>
      <c r="G27" s="242"/>
      <c r="H27" s="242"/>
    </row>
    <row r="28" spans="2:8" ht="10.050000000000001" customHeight="1" x14ac:dyDescent="0.25"/>
    <row r="29" spans="2:8" x14ac:dyDescent="0.25">
      <c r="B29" s="6" t="s">
        <v>24</v>
      </c>
      <c r="C29" s="7"/>
      <c r="D29" s="7"/>
      <c r="E29" s="7"/>
      <c r="F29" s="7"/>
      <c r="G29" s="7"/>
      <c r="H29" s="7"/>
    </row>
    <row r="30" spans="2:8" ht="82.8" customHeight="1" x14ac:dyDescent="0.25">
      <c r="B30" s="235" t="s">
        <v>408</v>
      </c>
      <c r="C30" s="235"/>
      <c r="D30" s="235"/>
      <c r="E30" s="235"/>
      <c r="F30" s="235"/>
      <c r="G30" s="235"/>
      <c r="H30" s="235"/>
    </row>
  </sheetData>
  <sheetProtection algorithmName="SHA-512" hashValue="HuDVyyV0T0nt/mnHALa6pyrR+KRgbieHvf/u62GkUKTBEEIukuSWMQtvNip8uyrlSkF6LhX4EnXz+lINxUUFEQ==" saltValue="guZtCfvBUktPCRQFym3p0A==" spinCount="100000" sheet="1" objects="1" scenarios="1" selectLockedCells="1"/>
  <mergeCells count="26">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 ref="B30:H30"/>
    <mergeCell ref="B18:F18"/>
    <mergeCell ref="B19:F19"/>
    <mergeCell ref="B20:F20"/>
    <mergeCell ref="B21:F21"/>
    <mergeCell ref="B22:F22"/>
    <mergeCell ref="B23:F23"/>
    <mergeCell ref="B24:F24"/>
    <mergeCell ref="B26:H26"/>
    <mergeCell ref="B27:H27"/>
    <mergeCell ref="B25:H25"/>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zoomScaleNormal="100" workbookViewId="0">
      <selection activeCell="B27" sqref="B27:H27"/>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0" t="s">
        <v>3</v>
      </c>
      <c r="C1" s="261"/>
      <c r="D1" s="261"/>
      <c r="E1" s="261"/>
      <c r="F1" s="261"/>
      <c r="G1" s="261"/>
      <c r="H1" s="262"/>
    </row>
    <row r="2" spans="2:8" ht="7.95" customHeight="1" x14ac:dyDescent="0.25">
      <c r="B2" s="10"/>
      <c r="C2" s="11"/>
      <c r="D2" s="11"/>
      <c r="E2" s="11"/>
      <c r="F2" s="11"/>
      <c r="G2" s="11"/>
      <c r="H2" s="11"/>
    </row>
    <row r="3" spans="2:8" ht="98.4" customHeight="1" x14ac:dyDescent="0.25">
      <c r="B3" s="8" t="s">
        <v>66</v>
      </c>
      <c r="C3" s="242"/>
      <c r="D3" s="242"/>
      <c r="E3" s="242"/>
      <c r="F3" s="242"/>
      <c r="G3" s="242"/>
      <c r="H3" s="242"/>
    </row>
    <row r="4" spans="2:8" ht="13.8" customHeight="1" x14ac:dyDescent="0.25">
      <c r="B4" s="269" t="s">
        <v>27</v>
      </c>
      <c r="C4" s="263" t="str">
        <f>Protocole!C17</f>
        <v>test traitement 1</v>
      </c>
      <c r="D4" s="264"/>
      <c r="E4" s="264"/>
      <c r="F4" s="265"/>
      <c r="G4" s="106" t="s">
        <v>28</v>
      </c>
      <c r="H4" s="177">
        <f>Protocole!I17</f>
        <v>30404</v>
      </c>
    </row>
    <row r="5" spans="2:8" x14ac:dyDescent="0.25">
      <c r="B5" s="270"/>
      <c r="C5" s="263" t="str">
        <f>Protocole!C18</f>
        <v>NA</v>
      </c>
      <c r="D5" s="264"/>
      <c r="E5" s="264"/>
      <c r="F5" s="265"/>
      <c r="G5" s="106" t="s">
        <v>28</v>
      </c>
      <c r="H5" s="177">
        <f>Protocole!I18</f>
        <v>0</v>
      </c>
    </row>
    <row r="6" spans="2:8" x14ac:dyDescent="0.25">
      <c r="B6" s="270"/>
      <c r="C6" s="263" t="str">
        <f>Protocole!C19</f>
        <v>NA</v>
      </c>
      <c r="D6" s="264"/>
      <c r="E6" s="264"/>
      <c r="F6" s="265"/>
      <c r="G6" s="106" t="s">
        <v>28</v>
      </c>
      <c r="H6" s="177">
        <f>Protocole!I19</f>
        <v>0</v>
      </c>
    </row>
    <row r="7" spans="2:8" x14ac:dyDescent="0.25">
      <c r="B7" s="270"/>
      <c r="C7" s="263" t="str">
        <f>Protocole!C20</f>
        <v>NA</v>
      </c>
      <c r="D7" s="264"/>
      <c r="E7" s="264"/>
      <c r="F7" s="265"/>
      <c r="G7" s="106" t="s">
        <v>28</v>
      </c>
      <c r="H7" s="177">
        <f>Protocole!I20</f>
        <v>0</v>
      </c>
    </row>
    <row r="8" spans="2:8" x14ac:dyDescent="0.25">
      <c r="B8" s="270"/>
      <c r="C8" s="263" t="str">
        <f>Protocole!C21</f>
        <v>NA</v>
      </c>
      <c r="D8" s="264"/>
      <c r="E8" s="264"/>
      <c r="F8" s="265"/>
      <c r="G8" s="106" t="s">
        <v>28</v>
      </c>
      <c r="H8" s="177">
        <f>Protocole!I21</f>
        <v>0</v>
      </c>
    </row>
    <row r="9" spans="2:8" x14ac:dyDescent="0.25">
      <c r="B9" s="271"/>
      <c r="C9" s="263" t="str">
        <f>Protocole!C22</f>
        <v>test traitement 5</v>
      </c>
      <c r="D9" s="264"/>
      <c r="E9" s="264"/>
      <c r="F9" s="265"/>
      <c r="G9" s="106" t="s">
        <v>28</v>
      </c>
      <c r="H9" s="177">
        <f>Protocole!I22</f>
        <v>43188</v>
      </c>
    </row>
    <row r="10" spans="2:8" ht="7.95" customHeight="1" x14ac:dyDescent="0.25"/>
    <row r="11" spans="2:8" x14ac:dyDescent="0.25">
      <c r="B11" s="9" t="s">
        <v>31</v>
      </c>
      <c r="C11" s="266">
        <f>Protocole!C7</f>
        <v>166</v>
      </c>
      <c r="D11" s="266"/>
      <c r="E11" s="276" t="s">
        <v>61</v>
      </c>
      <c r="F11" s="276"/>
      <c r="G11" s="275"/>
      <c r="H11" s="275"/>
    </row>
    <row r="12" spans="2:8" x14ac:dyDescent="0.25">
      <c r="B12" s="9" t="s">
        <v>32</v>
      </c>
      <c r="C12" s="266">
        <f>Protocole!C6</f>
        <v>66</v>
      </c>
      <c r="D12" s="266"/>
      <c r="E12" s="267" t="s">
        <v>62</v>
      </c>
      <c r="F12" s="268"/>
      <c r="G12" s="275"/>
      <c r="H12" s="275"/>
    </row>
    <row r="13" spans="2:8" x14ac:dyDescent="0.25">
      <c r="B13" s="9" t="s">
        <v>369</v>
      </c>
      <c r="C13" s="266">
        <f>C12/(C11/100*C11/100)</f>
        <v>23.951226593119468</v>
      </c>
      <c r="D13" s="266"/>
      <c r="E13" s="276" t="s">
        <v>29</v>
      </c>
      <c r="F13" s="276"/>
      <c r="G13" s="275"/>
      <c r="H13" s="275"/>
    </row>
    <row r="14" spans="2:8" x14ac:dyDescent="0.25">
      <c r="B14" s="5" t="s">
        <v>33</v>
      </c>
      <c r="C14" s="184"/>
      <c r="D14" s="184"/>
      <c r="E14" s="4" t="s">
        <v>30</v>
      </c>
      <c r="F14" s="4"/>
      <c r="G14" s="275"/>
      <c r="H14" s="275"/>
    </row>
    <row r="15" spans="2:8" ht="7.95" customHeight="1" x14ac:dyDescent="0.25"/>
    <row r="16" spans="2:8" ht="124.8" customHeight="1" x14ac:dyDescent="0.25">
      <c r="B16" s="8" t="s">
        <v>34</v>
      </c>
      <c r="C16" s="242"/>
      <c r="D16" s="242"/>
      <c r="E16" s="242"/>
      <c r="F16" s="242"/>
      <c r="G16" s="242"/>
      <c r="H16" s="242"/>
    </row>
    <row r="17" spans="2:8" ht="14.4" thickBot="1" x14ac:dyDescent="0.3"/>
    <row r="18" spans="2:8" ht="15" customHeight="1" thickBot="1" x14ac:dyDescent="0.3">
      <c r="B18" s="260" t="s">
        <v>35</v>
      </c>
      <c r="C18" s="261"/>
      <c r="D18" s="261"/>
      <c r="E18" s="261"/>
      <c r="F18" s="261"/>
      <c r="G18" s="261"/>
      <c r="H18" s="262"/>
    </row>
    <row r="19" spans="2:8" ht="7.95" customHeight="1" x14ac:dyDescent="0.25">
      <c r="B19" s="10"/>
      <c r="C19" s="11"/>
      <c r="D19" s="11"/>
      <c r="E19" s="11"/>
      <c r="F19" s="11"/>
      <c r="G19" s="11"/>
      <c r="H19" s="11"/>
    </row>
    <row r="20" spans="2:8" ht="30" customHeight="1" x14ac:dyDescent="0.25">
      <c r="B20" s="272" t="s">
        <v>36</v>
      </c>
      <c r="C20" s="273"/>
      <c r="D20" s="273"/>
      <c r="E20" s="273"/>
      <c r="F20" s="273"/>
      <c r="G20" s="273"/>
      <c r="H20" s="274"/>
    </row>
    <row r="21" spans="2:8" ht="45" customHeight="1" x14ac:dyDescent="0.25">
      <c r="B21" s="184"/>
      <c r="C21" s="184"/>
      <c r="D21" s="184"/>
      <c r="E21" s="184"/>
      <c r="F21" s="184"/>
      <c r="G21" s="184"/>
      <c r="H21" s="184"/>
    </row>
    <row r="22" spans="2:8" ht="7.95" customHeight="1" x14ac:dyDescent="0.25"/>
    <row r="23" spans="2:8" ht="30" customHeight="1" x14ac:dyDescent="0.25">
      <c r="B23" s="272" t="s">
        <v>37</v>
      </c>
      <c r="C23" s="273"/>
      <c r="D23" s="273"/>
      <c r="E23" s="273"/>
      <c r="F23" s="273"/>
      <c r="G23" s="273"/>
      <c r="H23" s="274"/>
    </row>
    <row r="24" spans="2:8" ht="45" customHeight="1" x14ac:dyDescent="0.25">
      <c r="B24" s="184"/>
      <c r="C24" s="184"/>
      <c r="D24" s="184"/>
      <c r="E24" s="184"/>
      <c r="F24" s="184"/>
      <c r="G24" s="184"/>
      <c r="H24" s="184"/>
    </row>
    <row r="25" spans="2:8" ht="7.95" customHeight="1" x14ac:dyDescent="0.25"/>
    <row r="26" spans="2:8" ht="30" customHeight="1" x14ac:dyDescent="0.25">
      <c r="B26" s="272" t="s">
        <v>38</v>
      </c>
      <c r="C26" s="273"/>
      <c r="D26" s="273"/>
      <c r="E26" s="273"/>
      <c r="F26" s="273"/>
      <c r="G26" s="273"/>
      <c r="H26" s="274"/>
    </row>
    <row r="27" spans="2:8" ht="45" customHeight="1" x14ac:dyDescent="0.25">
      <c r="B27" s="184"/>
      <c r="C27" s="184"/>
      <c r="D27" s="184"/>
      <c r="E27" s="184"/>
      <c r="F27" s="184"/>
      <c r="G27" s="184"/>
      <c r="H27" s="184"/>
    </row>
  </sheetData>
  <sheetProtection selectLockedCells="1"/>
  <mergeCells count="28">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 ref="C12:D12"/>
    <mergeCell ref="C13:D13"/>
    <mergeCell ref="E12:F12"/>
    <mergeCell ref="B4:B9"/>
    <mergeCell ref="C4:F4"/>
    <mergeCell ref="C5:F5"/>
    <mergeCell ref="C6:F6"/>
    <mergeCell ref="B1:H1"/>
    <mergeCell ref="C3:H3"/>
    <mergeCell ref="C7:F7"/>
    <mergeCell ref="C8:F8"/>
    <mergeCell ref="C9:F9"/>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B19" sqref="B19"/>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C37:E37"/>
    <mergeCell ref="F37:H37"/>
    <mergeCell ref="B30:H30"/>
    <mergeCell ref="C31:E31"/>
    <mergeCell ref="F31:H31"/>
    <mergeCell ref="C32:E32"/>
    <mergeCell ref="F32:H32"/>
    <mergeCell ref="C33:E33"/>
    <mergeCell ref="F33:H33"/>
    <mergeCell ref="C34:E34"/>
    <mergeCell ref="F34:H34"/>
    <mergeCell ref="B36:H36"/>
    <mergeCell ref="C38:E38"/>
    <mergeCell ref="F38:H38"/>
    <mergeCell ref="C39:E39"/>
    <mergeCell ref="F39:H39"/>
    <mergeCell ref="C40:E40"/>
    <mergeCell ref="F40:H40"/>
    <mergeCell ref="C50:E50"/>
    <mergeCell ref="F50:H50"/>
    <mergeCell ref="B42:H42"/>
    <mergeCell ref="F43:H43"/>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0" t="s">
        <v>77</v>
      </c>
      <c r="C1" s="261"/>
      <c r="D1" s="261"/>
      <c r="E1" s="261"/>
      <c r="F1" s="261"/>
      <c r="G1" s="261"/>
      <c r="H1" s="262"/>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7"/>
      <c r="C5" s="31" t="s">
        <v>79</v>
      </c>
      <c r="D5" s="32"/>
      <c r="E5" s="297"/>
      <c r="F5" s="31" t="s">
        <v>90</v>
      </c>
      <c r="G5" s="32"/>
      <c r="H5" s="294" t="s">
        <v>106</v>
      </c>
    </row>
    <row r="6" spans="1:8" x14ac:dyDescent="0.25">
      <c r="A6" s="15"/>
      <c r="B6" s="298"/>
      <c r="C6" s="16" t="s">
        <v>80</v>
      </c>
      <c r="D6" s="2"/>
      <c r="E6" s="298"/>
      <c r="F6" s="16" t="s">
        <v>80</v>
      </c>
      <c r="G6" s="2"/>
      <c r="H6" s="289"/>
    </row>
    <row r="7" spans="1:8" ht="13.8" customHeight="1" x14ac:dyDescent="0.25">
      <c r="A7" s="15"/>
      <c r="B7" s="295"/>
      <c r="C7" s="25" t="s">
        <v>81</v>
      </c>
      <c r="D7" s="26"/>
      <c r="E7" s="299"/>
      <c r="F7" s="25" t="s">
        <v>101</v>
      </c>
      <c r="G7" s="26"/>
      <c r="H7" s="292" t="s">
        <v>406</v>
      </c>
    </row>
    <row r="8" spans="1:8" ht="13.8" customHeight="1" x14ac:dyDescent="0.25">
      <c r="A8" s="15"/>
      <c r="B8" s="296"/>
      <c r="C8" s="27" t="s">
        <v>82</v>
      </c>
      <c r="D8" s="28"/>
      <c r="E8" s="300"/>
      <c r="F8" s="27" t="s">
        <v>82</v>
      </c>
      <c r="G8" s="28"/>
      <c r="H8" s="293"/>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407</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406</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0" t="s">
        <v>127</v>
      </c>
      <c r="C19" s="290"/>
      <c r="G19" s="290" t="s">
        <v>151</v>
      </c>
      <c r="H19" s="290"/>
    </row>
    <row r="20" spans="1:8" ht="13.8" customHeight="1" x14ac:dyDescent="0.25">
      <c r="B20" s="23">
        <v>0</v>
      </c>
      <c r="C20" s="289" t="s">
        <v>113</v>
      </c>
      <c r="D20" s="289"/>
      <c r="E20" s="289"/>
      <c r="F20" s="289"/>
      <c r="G20" s="23">
        <v>0</v>
      </c>
      <c r="H20" s="36" t="s">
        <v>119</v>
      </c>
    </row>
    <row r="21" spans="1:8" ht="13.8" customHeight="1" x14ac:dyDescent="0.25">
      <c r="A21" s="15"/>
      <c r="B21" s="23">
        <v>1</v>
      </c>
      <c r="C21" s="289" t="s">
        <v>114</v>
      </c>
      <c r="D21" s="289"/>
      <c r="E21" s="289"/>
      <c r="F21" s="289"/>
      <c r="G21" s="23">
        <v>1</v>
      </c>
      <c r="H21" s="36" t="s">
        <v>121</v>
      </c>
    </row>
    <row r="22" spans="1:8" x14ac:dyDescent="0.25">
      <c r="A22" s="15"/>
      <c r="B22" s="23">
        <v>2</v>
      </c>
      <c r="C22" s="289" t="s">
        <v>115</v>
      </c>
      <c r="D22" s="289"/>
      <c r="E22" s="289"/>
      <c r="F22" s="289"/>
      <c r="G22" s="23">
        <v>2</v>
      </c>
      <c r="H22" s="36" t="s">
        <v>120</v>
      </c>
    </row>
    <row r="23" spans="1:8" x14ac:dyDescent="0.25">
      <c r="A23" s="15"/>
      <c r="B23" s="23">
        <v>3</v>
      </c>
      <c r="C23" s="289" t="s">
        <v>117</v>
      </c>
      <c r="D23" s="289"/>
      <c r="E23" s="289"/>
      <c r="F23" s="289"/>
    </row>
    <row r="24" spans="1:8" x14ac:dyDescent="0.25">
      <c r="A24" s="15"/>
      <c r="B24" s="23">
        <v>4</v>
      </c>
      <c r="C24" s="289" t="s">
        <v>116</v>
      </c>
      <c r="D24" s="289"/>
      <c r="E24" s="289"/>
      <c r="F24" s="289"/>
      <c r="G24" s="291" t="s">
        <v>143</v>
      </c>
      <c r="H24" s="291"/>
    </row>
    <row r="25" spans="1:8" x14ac:dyDescent="0.25">
      <c r="A25" s="15"/>
      <c r="B25" s="23">
        <v>5</v>
      </c>
      <c r="C25" s="289" t="s">
        <v>118</v>
      </c>
      <c r="D25" s="289"/>
      <c r="E25" s="289"/>
      <c r="F25" s="289"/>
      <c r="G25" s="23">
        <v>0</v>
      </c>
      <c r="H25" s="36" t="s">
        <v>147</v>
      </c>
    </row>
    <row r="26" spans="1:8" ht="13.8" customHeight="1" x14ac:dyDescent="0.25">
      <c r="A26" s="15"/>
      <c r="B26" s="24"/>
      <c r="G26" s="23">
        <v>1</v>
      </c>
      <c r="H26" s="36" t="s">
        <v>148</v>
      </c>
    </row>
    <row r="27" spans="1:8" ht="13.8" customHeight="1" x14ac:dyDescent="0.25">
      <c r="A27" s="15"/>
      <c r="B27" s="290" t="s">
        <v>128</v>
      </c>
      <c r="C27" s="290"/>
      <c r="D27" s="290"/>
      <c r="E27" s="290"/>
      <c r="F27" s="290"/>
      <c r="G27" s="38">
        <v>2</v>
      </c>
      <c r="H27" s="39" t="s">
        <v>149</v>
      </c>
    </row>
    <row r="28" spans="1:8" x14ac:dyDescent="0.25">
      <c r="A28" s="15"/>
      <c r="B28" s="23">
        <v>0</v>
      </c>
      <c r="C28" s="289" t="s">
        <v>123</v>
      </c>
      <c r="D28" s="289"/>
      <c r="E28" s="289"/>
      <c r="F28" s="289"/>
      <c r="G28" s="23">
        <v>0</v>
      </c>
      <c r="H28" s="36" t="s">
        <v>147</v>
      </c>
    </row>
    <row r="29" spans="1:8" x14ac:dyDescent="0.25">
      <c r="B29" s="23">
        <v>1</v>
      </c>
      <c r="C29" s="289" t="s">
        <v>124</v>
      </c>
      <c r="D29" s="289"/>
      <c r="E29" s="289"/>
      <c r="F29" s="289"/>
      <c r="G29" s="23">
        <v>1</v>
      </c>
      <c r="H29" s="36" t="s">
        <v>148</v>
      </c>
    </row>
    <row r="30" spans="1:8" ht="27" customHeight="1" x14ac:dyDescent="0.25">
      <c r="A30" s="15"/>
      <c r="B30" s="23" t="s">
        <v>122</v>
      </c>
      <c r="C30" s="289" t="s">
        <v>145</v>
      </c>
      <c r="D30" s="289"/>
      <c r="E30" s="289"/>
      <c r="F30" s="289"/>
      <c r="G30" s="38">
        <v>2</v>
      </c>
      <c r="H30" s="39" t="s">
        <v>149</v>
      </c>
    </row>
    <row r="31" spans="1:8" x14ac:dyDescent="0.25">
      <c r="A31" s="15"/>
      <c r="B31" s="23">
        <v>2</v>
      </c>
      <c r="C31" s="289" t="s">
        <v>144</v>
      </c>
      <c r="D31" s="289"/>
      <c r="E31" s="289"/>
      <c r="F31" s="289"/>
      <c r="H31" s="36"/>
    </row>
    <row r="32" spans="1:8" x14ac:dyDescent="0.25">
      <c r="A32" s="15"/>
      <c r="B32" s="23">
        <v>3</v>
      </c>
      <c r="C32" s="289" t="s">
        <v>125</v>
      </c>
      <c r="D32" s="289"/>
      <c r="E32" s="289"/>
      <c r="F32" s="289"/>
      <c r="G32" s="290" t="s">
        <v>129</v>
      </c>
      <c r="H32" s="290"/>
    </row>
    <row r="33" spans="1:8" ht="14.4" x14ac:dyDescent="0.3">
      <c r="A33" s="15"/>
      <c r="B33" s="23">
        <v>4</v>
      </c>
      <c r="C33" s="289" t="s">
        <v>126</v>
      </c>
      <c r="D33" s="289"/>
      <c r="E33" s="289"/>
      <c r="F33" s="289"/>
      <c r="G33" s="37" t="s">
        <v>141</v>
      </c>
      <c r="H33" s="37"/>
    </row>
    <row r="34" spans="1:8" ht="14.4" customHeight="1" x14ac:dyDescent="0.3">
      <c r="A34" s="15"/>
      <c r="B34" s="24"/>
      <c r="G34" s="37" t="s">
        <v>142</v>
      </c>
      <c r="H34" s="37"/>
    </row>
    <row r="35" spans="1:8" ht="13.8" customHeight="1" x14ac:dyDescent="0.25">
      <c r="A35" s="15"/>
      <c r="B35" s="290" t="s">
        <v>131</v>
      </c>
      <c r="C35" s="290"/>
      <c r="D35" s="290"/>
      <c r="E35" s="290"/>
      <c r="F35" s="290"/>
    </row>
    <row r="36" spans="1:8" ht="13.8" customHeight="1" x14ac:dyDescent="0.25">
      <c r="A36" s="15"/>
      <c r="B36" s="23">
        <v>0</v>
      </c>
      <c r="C36" s="289" t="s">
        <v>132</v>
      </c>
      <c r="D36" s="289"/>
      <c r="E36" s="289"/>
      <c r="F36" s="289"/>
      <c r="G36" s="290" t="s">
        <v>130</v>
      </c>
      <c r="H36" s="290"/>
    </row>
    <row r="37" spans="1:8" ht="13.8" customHeight="1" x14ac:dyDescent="0.25">
      <c r="B37" s="23" t="s">
        <v>133</v>
      </c>
      <c r="C37" s="289" t="s">
        <v>146</v>
      </c>
      <c r="D37" s="289"/>
      <c r="E37" s="289"/>
      <c r="F37" s="289"/>
      <c r="G37" s="23">
        <v>0</v>
      </c>
      <c r="H37" s="36" t="s">
        <v>138</v>
      </c>
    </row>
    <row r="38" spans="1:8" ht="13.8" customHeight="1" x14ac:dyDescent="0.25">
      <c r="A38" s="15"/>
      <c r="B38" s="23">
        <v>1</v>
      </c>
      <c r="C38" s="289" t="s">
        <v>135</v>
      </c>
      <c r="D38" s="289"/>
      <c r="E38" s="289"/>
      <c r="F38" s="289"/>
      <c r="G38" s="23">
        <v>1</v>
      </c>
      <c r="H38" s="36" t="s">
        <v>139</v>
      </c>
    </row>
    <row r="39" spans="1:8" ht="24.6" customHeight="1" x14ac:dyDescent="0.25">
      <c r="A39" s="15"/>
      <c r="B39" s="23" t="s">
        <v>134</v>
      </c>
      <c r="C39" s="289" t="s">
        <v>136</v>
      </c>
      <c r="D39" s="289"/>
      <c r="E39" s="289"/>
      <c r="F39" s="289"/>
      <c r="G39" s="23">
        <v>2</v>
      </c>
      <c r="H39" s="36" t="s">
        <v>140</v>
      </c>
    </row>
    <row r="40" spans="1:8" x14ac:dyDescent="0.25">
      <c r="A40" s="15"/>
      <c r="B40" s="23">
        <v>2</v>
      </c>
      <c r="C40" s="289" t="s">
        <v>137</v>
      </c>
      <c r="D40" s="289"/>
      <c r="E40" s="289"/>
      <c r="F40" s="289"/>
      <c r="G40" s="23">
        <v>3</v>
      </c>
      <c r="H40" s="36" t="s">
        <v>150</v>
      </c>
    </row>
    <row r="41" spans="1:8" ht="15" customHeight="1" x14ac:dyDescent="0.25">
      <c r="G41" s="23">
        <v>4</v>
      </c>
      <c r="H41" s="36" t="s">
        <v>405</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H7:H8"/>
    <mergeCell ref="H5:H6"/>
    <mergeCell ref="B7:B8"/>
    <mergeCell ref="B1:H1"/>
    <mergeCell ref="B5:B6"/>
    <mergeCell ref="E5:E6"/>
    <mergeCell ref="E7:E8"/>
    <mergeCell ref="C23:F23"/>
    <mergeCell ref="C24:F24"/>
    <mergeCell ref="C25:F25"/>
    <mergeCell ref="G19:H19"/>
    <mergeCell ref="B27:F27"/>
    <mergeCell ref="G24:H24"/>
    <mergeCell ref="B19:C19"/>
    <mergeCell ref="C20:F20"/>
    <mergeCell ref="C21:F21"/>
    <mergeCell ref="C22:F22"/>
    <mergeCell ref="C33:F33"/>
    <mergeCell ref="G36:H36"/>
    <mergeCell ref="G32:H32"/>
    <mergeCell ref="B35:F35"/>
    <mergeCell ref="C28:F28"/>
    <mergeCell ref="C29:F29"/>
    <mergeCell ref="C30:F30"/>
    <mergeCell ref="C31:F31"/>
    <mergeCell ref="C32:F32"/>
    <mergeCell ref="C37:F37"/>
    <mergeCell ref="C38:F38"/>
    <mergeCell ref="C39:F39"/>
    <mergeCell ref="C40:F40"/>
    <mergeCell ref="C36:F3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abSelected="1" topLeftCell="A22" zoomScaleNormal="100" zoomScalePageLayoutView="70" workbookViewId="0">
      <selection activeCell="B42" sqref="B42:K50"/>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0" t="s">
        <v>409</v>
      </c>
      <c r="C1" s="261"/>
      <c r="D1" s="261"/>
      <c r="E1" s="261"/>
      <c r="F1" s="261"/>
      <c r="G1" s="261"/>
      <c r="H1" s="261"/>
      <c r="I1" s="261"/>
      <c r="J1" s="261"/>
      <c r="K1" s="262"/>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4" t="s">
        <v>49</v>
      </c>
      <c r="I3" s="305"/>
      <c r="J3" s="304" t="s">
        <v>50</v>
      </c>
      <c r="K3" s="306"/>
    </row>
    <row r="4" spans="2:12" x14ac:dyDescent="0.25">
      <c r="B4" s="307" t="s">
        <v>152</v>
      </c>
      <c r="C4" s="41">
        <v>1</v>
      </c>
      <c r="D4" s="310" t="s">
        <v>156</v>
      </c>
      <c r="E4" s="311"/>
      <c r="F4" s="311"/>
      <c r="G4" s="312"/>
      <c r="H4" s="313"/>
      <c r="I4" s="314"/>
      <c r="J4" s="313"/>
      <c r="K4" s="314"/>
    </row>
    <row r="5" spans="2:12" x14ac:dyDescent="0.25">
      <c r="B5" s="308"/>
      <c r="C5" s="42">
        <v>2</v>
      </c>
      <c r="D5" s="315" t="s">
        <v>157</v>
      </c>
      <c r="E5" s="316"/>
      <c r="F5" s="316"/>
      <c r="G5" s="317"/>
      <c r="H5" s="318"/>
      <c r="I5" s="319"/>
      <c r="J5" s="318"/>
      <c r="K5" s="319"/>
    </row>
    <row r="6" spans="2:12" x14ac:dyDescent="0.25">
      <c r="B6" s="308"/>
      <c r="C6" s="42">
        <v>3</v>
      </c>
      <c r="D6" s="315" t="s">
        <v>158</v>
      </c>
      <c r="E6" s="316"/>
      <c r="F6" s="316"/>
      <c r="G6" s="317"/>
      <c r="H6" s="62"/>
      <c r="I6" s="63"/>
      <c r="J6" s="62"/>
      <c r="K6" s="63"/>
    </row>
    <row r="7" spans="2:12" ht="14.4" thickBot="1" x14ac:dyDescent="0.3">
      <c r="B7" s="308"/>
      <c r="C7" s="43">
        <v>4</v>
      </c>
      <c r="D7" s="320" t="s">
        <v>159</v>
      </c>
      <c r="E7" s="321"/>
      <c r="F7" s="321"/>
      <c r="G7" s="322"/>
      <c r="H7" s="64"/>
      <c r="I7" s="65"/>
      <c r="J7" s="64"/>
      <c r="K7" s="65"/>
    </row>
    <row r="8" spans="2:12" ht="14.4" thickBot="1" x14ac:dyDescent="0.3">
      <c r="B8" s="308"/>
      <c r="C8" s="44">
        <v>5</v>
      </c>
      <c r="D8" s="323" t="s">
        <v>160</v>
      </c>
      <c r="E8" s="324"/>
      <c r="F8" s="324"/>
      <c r="G8" s="325"/>
      <c r="H8" s="326"/>
      <c r="I8" s="327"/>
      <c r="J8" s="326"/>
      <c r="K8" s="327"/>
    </row>
    <row r="9" spans="2:12" x14ac:dyDescent="0.25">
      <c r="B9" s="308"/>
      <c r="C9" s="45">
        <v>6</v>
      </c>
      <c r="D9" s="301" t="s">
        <v>161</v>
      </c>
      <c r="E9" s="302"/>
      <c r="F9" s="302"/>
      <c r="G9" s="303"/>
      <c r="H9" s="66"/>
      <c r="I9" s="67"/>
      <c r="J9" s="66"/>
      <c r="K9" s="67"/>
    </row>
    <row r="10" spans="2:12" x14ac:dyDescent="0.25">
      <c r="B10" s="308"/>
      <c r="C10" s="46">
        <v>7</v>
      </c>
      <c r="D10" s="328" t="s">
        <v>162</v>
      </c>
      <c r="E10" s="329"/>
      <c r="F10" s="329"/>
      <c r="G10" s="330"/>
      <c r="H10" s="68"/>
      <c r="I10" s="69"/>
      <c r="J10" s="68"/>
      <c r="K10" s="69"/>
    </row>
    <row r="11" spans="2:12" ht="14.4" thickBot="1" x14ac:dyDescent="0.3">
      <c r="B11" s="308"/>
      <c r="C11" s="47">
        <v>8</v>
      </c>
      <c r="D11" s="331" t="s">
        <v>163</v>
      </c>
      <c r="E11" s="332"/>
      <c r="F11" s="332"/>
      <c r="G11" s="333"/>
      <c r="H11" s="70"/>
      <c r="I11" s="71"/>
      <c r="J11" s="70"/>
      <c r="K11" s="71"/>
    </row>
    <row r="12" spans="2:12" ht="14.4" thickBot="1" x14ac:dyDescent="0.3">
      <c r="B12" s="309"/>
      <c r="C12" s="48">
        <v>9</v>
      </c>
      <c r="D12" s="334" t="s">
        <v>164</v>
      </c>
      <c r="E12" s="335"/>
      <c r="F12" s="335"/>
      <c r="G12" s="336"/>
      <c r="H12" s="72"/>
      <c r="I12" s="73"/>
      <c r="J12" s="72"/>
      <c r="K12" s="73"/>
    </row>
    <row r="13" spans="2:12" ht="7.95" customHeight="1" thickBot="1" x14ac:dyDescent="0.35">
      <c r="B13" s="40"/>
      <c r="C13" s="40"/>
      <c r="D13" s="49"/>
      <c r="E13" s="49"/>
      <c r="F13" s="49"/>
      <c r="G13" s="49"/>
      <c r="H13" s="40"/>
      <c r="I13" s="40"/>
      <c r="J13" s="40"/>
      <c r="K13" s="40"/>
    </row>
    <row r="14" spans="2:12" x14ac:dyDescent="0.25">
      <c r="B14" s="307" t="s">
        <v>153</v>
      </c>
      <c r="C14" s="41">
        <v>10</v>
      </c>
      <c r="D14" s="337" t="s">
        <v>165</v>
      </c>
      <c r="E14" s="338"/>
      <c r="F14" s="338"/>
      <c r="G14" s="339"/>
      <c r="H14" s="313"/>
      <c r="I14" s="314"/>
      <c r="J14" s="313"/>
      <c r="K14" s="314"/>
    </row>
    <row r="15" spans="2:12" x14ac:dyDescent="0.25">
      <c r="B15" s="308"/>
      <c r="C15" s="42">
        <v>11</v>
      </c>
      <c r="D15" s="357" t="s">
        <v>166</v>
      </c>
      <c r="E15" s="358"/>
      <c r="F15" s="358"/>
      <c r="G15" s="359"/>
      <c r="H15" s="318"/>
      <c r="I15" s="319"/>
      <c r="J15" s="318"/>
      <c r="K15" s="319"/>
    </row>
    <row r="16" spans="2:12" x14ac:dyDescent="0.25">
      <c r="B16" s="308"/>
      <c r="C16" s="42">
        <v>12</v>
      </c>
      <c r="D16" s="357" t="s">
        <v>167</v>
      </c>
      <c r="E16" s="358"/>
      <c r="F16" s="358"/>
      <c r="G16" s="359"/>
      <c r="H16" s="318"/>
      <c r="I16" s="319"/>
      <c r="J16" s="318"/>
      <c r="K16" s="319"/>
    </row>
    <row r="17" spans="2:11" x14ac:dyDescent="0.25">
      <c r="B17" s="308"/>
      <c r="C17" s="42">
        <v>13</v>
      </c>
      <c r="D17" s="340" t="s">
        <v>168</v>
      </c>
      <c r="E17" s="341"/>
      <c r="F17" s="341"/>
      <c r="G17" s="342"/>
      <c r="H17" s="318"/>
      <c r="I17" s="319"/>
      <c r="J17" s="318"/>
      <c r="K17" s="319"/>
    </row>
    <row r="18" spans="2:11" ht="14.4" thickBot="1" x14ac:dyDescent="0.3">
      <c r="B18" s="308"/>
      <c r="C18" s="43">
        <v>14</v>
      </c>
      <c r="D18" s="352" t="s">
        <v>169</v>
      </c>
      <c r="E18" s="353"/>
      <c r="F18" s="353"/>
      <c r="G18" s="354"/>
      <c r="H18" s="355"/>
      <c r="I18" s="356"/>
      <c r="J18" s="355"/>
      <c r="K18" s="356"/>
    </row>
    <row r="19" spans="2:11" x14ac:dyDescent="0.25">
      <c r="B19" s="308"/>
      <c r="C19" s="45">
        <v>15</v>
      </c>
      <c r="D19" s="301" t="s">
        <v>161</v>
      </c>
      <c r="E19" s="302"/>
      <c r="F19" s="302"/>
      <c r="G19" s="303"/>
      <c r="H19" s="66"/>
      <c r="I19" s="67"/>
      <c r="J19" s="66"/>
      <c r="K19" s="67"/>
    </row>
    <row r="20" spans="2:11" ht="14.4" thickBot="1" x14ac:dyDescent="0.3">
      <c r="B20" s="308"/>
      <c r="C20" s="50">
        <v>16</v>
      </c>
      <c r="D20" s="349" t="s">
        <v>162</v>
      </c>
      <c r="E20" s="350"/>
      <c r="F20" s="350"/>
      <c r="G20" s="351"/>
      <c r="H20" s="70"/>
      <c r="I20" s="71"/>
      <c r="J20" s="70"/>
      <c r="K20" s="71"/>
    </row>
    <row r="21" spans="2:11" x14ac:dyDescent="0.25">
      <c r="B21" s="308"/>
      <c r="C21" s="51">
        <v>17</v>
      </c>
      <c r="D21" s="343" t="s">
        <v>170</v>
      </c>
      <c r="E21" s="344"/>
      <c r="F21" s="344"/>
      <c r="G21" s="345"/>
      <c r="H21" s="66"/>
      <c r="I21" s="67"/>
      <c r="J21" s="66"/>
      <c r="K21" s="67"/>
    </row>
    <row r="22" spans="2:11" ht="14.4" thickBot="1" x14ac:dyDescent="0.3">
      <c r="B22" s="309"/>
      <c r="C22" s="52">
        <v>18</v>
      </c>
      <c r="D22" s="346" t="s">
        <v>171</v>
      </c>
      <c r="E22" s="347"/>
      <c r="F22" s="347"/>
      <c r="G22" s="348"/>
      <c r="H22" s="70"/>
      <c r="I22" s="71"/>
      <c r="J22" s="70"/>
      <c r="K22" s="71"/>
    </row>
    <row r="23" spans="2:11" ht="7.95" customHeight="1" thickBot="1" x14ac:dyDescent="0.35">
      <c r="B23" s="40"/>
      <c r="C23" s="40"/>
      <c r="D23" s="49"/>
      <c r="E23" s="49"/>
      <c r="F23" s="49"/>
      <c r="G23" s="49"/>
      <c r="H23" s="360"/>
      <c r="I23" s="360"/>
      <c r="J23" s="360"/>
      <c r="K23" s="360"/>
    </row>
    <row r="24" spans="2:11" x14ac:dyDescent="0.25">
      <c r="B24" s="307" t="s">
        <v>154</v>
      </c>
      <c r="C24" s="41">
        <v>19</v>
      </c>
      <c r="D24" s="310" t="s">
        <v>172</v>
      </c>
      <c r="E24" s="311"/>
      <c r="F24" s="311"/>
      <c r="G24" s="312"/>
      <c r="H24" s="313"/>
      <c r="I24" s="314"/>
      <c r="J24" s="313"/>
      <c r="K24" s="314"/>
    </row>
    <row r="25" spans="2:11" ht="14.4" thickBot="1" x14ac:dyDescent="0.3">
      <c r="B25" s="308"/>
      <c r="C25" s="53">
        <v>20</v>
      </c>
      <c r="D25" s="363" t="s">
        <v>173</v>
      </c>
      <c r="E25" s="364"/>
      <c r="F25" s="364"/>
      <c r="G25" s="365"/>
      <c r="H25" s="355"/>
      <c r="I25" s="356"/>
      <c r="J25" s="355"/>
      <c r="K25" s="356"/>
    </row>
    <row r="26" spans="2:11" ht="14.4" thickBot="1" x14ac:dyDescent="0.3">
      <c r="B26" s="361"/>
      <c r="C26" s="54">
        <v>21</v>
      </c>
      <c r="D26" s="366" t="s">
        <v>174</v>
      </c>
      <c r="E26" s="367"/>
      <c r="F26" s="367"/>
      <c r="G26" s="368"/>
      <c r="H26" s="326"/>
      <c r="I26" s="327"/>
      <c r="J26" s="326"/>
      <c r="K26" s="327"/>
    </row>
    <row r="27" spans="2:11" x14ac:dyDescent="0.25">
      <c r="B27" s="361"/>
      <c r="C27" s="45">
        <v>22</v>
      </c>
      <c r="D27" s="301" t="s">
        <v>175</v>
      </c>
      <c r="E27" s="302"/>
      <c r="F27" s="302"/>
      <c r="G27" s="303"/>
      <c r="H27" s="74"/>
      <c r="I27" s="67"/>
      <c r="J27" s="66"/>
      <c r="K27" s="67"/>
    </row>
    <row r="28" spans="2:11" x14ac:dyDescent="0.25">
      <c r="B28" s="361"/>
      <c r="C28" s="46">
        <v>23</v>
      </c>
      <c r="D28" s="328" t="s">
        <v>176</v>
      </c>
      <c r="E28" s="329"/>
      <c r="F28" s="329"/>
      <c r="G28" s="330"/>
      <c r="H28" s="75"/>
      <c r="I28" s="69"/>
      <c r="J28" s="68"/>
      <c r="K28" s="69"/>
    </row>
    <row r="29" spans="2:11" x14ac:dyDescent="0.25">
      <c r="B29" s="361"/>
      <c r="C29" s="46">
        <v>24</v>
      </c>
      <c r="D29" s="328" t="s">
        <v>177</v>
      </c>
      <c r="E29" s="329"/>
      <c r="F29" s="329"/>
      <c r="G29" s="330"/>
      <c r="H29" s="75"/>
      <c r="I29" s="69"/>
      <c r="J29" s="68"/>
      <c r="K29" s="69"/>
    </row>
    <row r="30" spans="2:11" ht="14.4" thickBot="1" x14ac:dyDescent="0.3">
      <c r="B30" s="361"/>
      <c r="C30" s="50">
        <v>25</v>
      </c>
      <c r="D30" s="402" t="s">
        <v>178</v>
      </c>
      <c r="E30" s="403"/>
      <c r="F30" s="403"/>
      <c r="G30" s="404"/>
      <c r="H30" s="76"/>
      <c r="I30" s="77"/>
      <c r="J30" s="78"/>
      <c r="K30" s="77"/>
    </row>
    <row r="31" spans="2:11" x14ac:dyDescent="0.25">
      <c r="B31" s="361"/>
      <c r="C31" s="55">
        <v>26</v>
      </c>
      <c r="D31" s="343" t="s">
        <v>143</v>
      </c>
      <c r="E31" s="344"/>
      <c r="F31" s="344"/>
      <c r="G31" s="395"/>
      <c r="H31" s="313"/>
      <c r="I31" s="314"/>
      <c r="J31" s="313"/>
      <c r="K31" s="314"/>
    </row>
    <row r="32" spans="2:11" x14ac:dyDescent="0.25">
      <c r="B32" s="361"/>
      <c r="C32" s="56">
        <v>27</v>
      </c>
      <c r="D32" s="396" t="s">
        <v>179</v>
      </c>
      <c r="E32" s="397"/>
      <c r="F32" s="397"/>
      <c r="G32" s="398"/>
      <c r="H32" s="68"/>
      <c r="I32" s="69"/>
      <c r="J32" s="68"/>
      <c r="K32" s="69"/>
    </row>
    <row r="33" spans="2:11" ht="14.4" thickBot="1" x14ac:dyDescent="0.3">
      <c r="B33" s="362"/>
      <c r="C33" s="57">
        <v>28</v>
      </c>
      <c r="D33" s="346" t="s">
        <v>180</v>
      </c>
      <c r="E33" s="347"/>
      <c r="F33" s="347"/>
      <c r="G33" s="399"/>
      <c r="H33" s="400">
        <f>H24-I32</f>
        <v>0</v>
      </c>
      <c r="I33" s="401"/>
      <c r="J33" s="400">
        <f>J24-K32</f>
        <v>0</v>
      </c>
      <c r="K33" s="401"/>
    </row>
    <row r="34" spans="2:11" ht="7.95" customHeight="1" thickBot="1" x14ac:dyDescent="0.35">
      <c r="B34" s="58"/>
      <c r="C34" s="40"/>
      <c r="D34" s="49"/>
      <c r="E34" s="49"/>
      <c r="F34" s="49"/>
      <c r="G34" s="49"/>
      <c r="H34" s="40"/>
      <c r="I34" s="40"/>
      <c r="J34" s="40"/>
      <c r="K34" s="40"/>
    </row>
    <row r="35" spans="2:11" x14ac:dyDescent="0.25">
      <c r="B35" s="383" t="s">
        <v>155</v>
      </c>
      <c r="C35" s="59">
        <v>29</v>
      </c>
      <c r="D35" s="384" t="s">
        <v>181</v>
      </c>
      <c r="E35" s="385"/>
      <c r="F35" s="385"/>
      <c r="G35" s="386"/>
      <c r="H35" s="313"/>
      <c r="I35" s="314"/>
      <c r="J35" s="313"/>
      <c r="K35" s="314"/>
    </row>
    <row r="36" spans="2:11" x14ac:dyDescent="0.25">
      <c r="B36" s="361"/>
      <c r="C36" s="60">
        <v>30</v>
      </c>
      <c r="D36" s="387" t="s">
        <v>182</v>
      </c>
      <c r="E36" s="388"/>
      <c r="F36" s="388"/>
      <c r="G36" s="389"/>
      <c r="H36" s="62"/>
      <c r="I36" s="63"/>
      <c r="J36" s="62"/>
      <c r="K36" s="63"/>
    </row>
    <row r="37" spans="2:11" ht="14.4" thickBot="1" x14ac:dyDescent="0.3">
      <c r="B37" s="361"/>
      <c r="C37" s="61">
        <v>31</v>
      </c>
      <c r="D37" s="390" t="s">
        <v>183</v>
      </c>
      <c r="E37" s="391"/>
      <c r="F37" s="391"/>
      <c r="G37" s="392"/>
      <c r="H37" s="79"/>
      <c r="I37" s="80"/>
      <c r="J37" s="79"/>
      <c r="K37" s="80"/>
    </row>
    <row r="38" spans="2:11" ht="14.4" x14ac:dyDescent="0.3">
      <c r="B38" s="361"/>
      <c r="C38" s="51">
        <v>32</v>
      </c>
      <c r="D38" s="343" t="s">
        <v>184</v>
      </c>
      <c r="E38" s="344"/>
      <c r="F38" s="344"/>
      <c r="G38" s="345"/>
      <c r="H38" s="393"/>
      <c r="I38" s="394"/>
      <c r="J38" s="393"/>
      <c r="K38" s="394"/>
    </row>
    <row r="39" spans="2:11" ht="15" thickBot="1" x14ac:dyDescent="0.35">
      <c r="B39" s="362"/>
      <c r="C39" s="52">
        <v>33</v>
      </c>
      <c r="D39" s="346" t="s">
        <v>185</v>
      </c>
      <c r="E39" s="347"/>
      <c r="F39" s="347"/>
      <c r="G39" s="348"/>
      <c r="H39" s="369"/>
      <c r="I39" s="370"/>
      <c r="J39" s="369"/>
      <c r="K39" s="370"/>
    </row>
    <row r="40" spans="2:11" ht="7.95" customHeight="1" thickBot="1" x14ac:dyDescent="0.3"/>
    <row r="41" spans="2:11" ht="15" thickBot="1" x14ac:dyDescent="0.35">
      <c r="B41" s="380" t="s">
        <v>8</v>
      </c>
      <c r="C41" s="381"/>
      <c r="D41" s="381"/>
      <c r="E41" s="381"/>
      <c r="F41" s="381"/>
      <c r="G41" s="381"/>
      <c r="H41" s="381"/>
      <c r="I41" s="381"/>
      <c r="J41" s="381"/>
      <c r="K41" s="382"/>
    </row>
    <row r="42" spans="2:11" ht="14.4" customHeight="1" x14ac:dyDescent="0.25">
      <c r="B42" s="371"/>
      <c r="C42" s="372"/>
      <c r="D42" s="372"/>
      <c r="E42" s="372"/>
      <c r="F42" s="372"/>
      <c r="G42" s="372"/>
      <c r="H42" s="372"/>
      <c r="I42" s="372"/>
      <c r="J42" s="372"/>
      <c r="K42" s="373"/>
    </row>
    <row r="43" spans="2:11" ht="14.4" customHeight="1" x14ac:dyDescent="0.25">
      <c r="B43" s="374"/>
      <c r="C43" s="375"/>
      <c r="D43" s="375"/>
      <c r="E43" s="375"/>
      <c r="F43" s="375"/>
      <c r="G43" s="375"/>
      <c r="H43" s="375"/>
      <c r="I43" s="375"/>
      <c r="J43" s="375"/>
      <c r="K43" s="376"/>
    </row>
    <row r="44" spans="2:11" ht="14.4" customHeight="1" x14ac:dyDescent="0.25">
      <c r="B44" s="374"/>
      <c r="C44" s="375"/>
      <c r="D44" s="375"/>
      <c r="E44" s="375"/>
      <c r="F44" s="375"/>
      <c r="G44" s="375"/>
      <c r="H44" s="375"/>
      <c r="I44" s="375"/>
      <c r="J44" s="375"/>
      <c r="K44" s="376"/>
    </row>
    <row r="45" spans="2:11" ht="14.4" customHeight="1" x14ac:dyDescent="0.25">
      <c r="B45" s="374"/>
      <c r="C45" s="375"/>
      <c r="D45" s="375"/>
      <c r="E45" s="375"/>
      <c r="F45" s="375"/>
      <c r="G45" s="375"/>
      <c r="H45" s="375"/>
      <c r="I45" s="375"/>
      <c r="J45" s="375"/>
      <c r="K45" s="376"/>
    </row>
    <row r="46" spans="2:11" ht="14.4" customHeight="1" x14ac:dyDescent="0.25">
      <c r="B46" s="374"/>
      <c r="C46" s="375"/>
      <c r="D46" s="375"/>
      <c r="E46" s="375"/>
      <c r="F46" s="375"/>
      <c r="G46" s="375"/>
      <c r="H46" s="375"/>
      <c r="I46" s="375"/>
      <c r="J46" s="375"/>
      <c r="K46" s="376"/>
    </row>
    <row r="47" spans="2:11" ht="14.4" customHeight="1" x14ac:dyDescent="0.25">
      <c r="B47" s="374"/>
      <c r="C47" s="375"/>
      <c r="D47" s="375"/>
      <c r="E47" s="375"/>
      <c r="F47" s="375"/>
      <c r="G47" s="375"/>
      <c r="H47" s="375"/>
      <c r="I47" s="375"/>
      <c r="J47" s="375"/>
      <c r="K47" s="376"/>
    </row>
    <row r="48" spans="2:11" ht="14.4" customHeight="1" x14ac:dyDescent="0.25">
      <c r="B48" s="374"/>
      <c r="C48" s="375"/>
      <c r="D48" s="375"/>
      <c r="E48" s="375"/>
      <c r="F48" s="375"/>
      <c r="G48" s="375"/>
      <c r="H48" s="375"/>
      <c r="I48" s="375"/>
      <c r="J48" s="375"/>
      <c r="K48" s="376"/>
    </row>
    <row r="49" spans="2:11" ht="14.4" customHeight="1" x14ac:dyDescent="0.25">
      <c r="B49" s="374"/>
      <c r="C49" s="375"/>
      <c r="D49" s="375"/>
      <c r="E49" s="375"/>
      <c r="F49" s="375"/>
      <c r="G49" s="375"/>
      <c r="H49" s="375"/>
      <c r="I49" s="375"/>
      <c r="J49" s="375"/>
      <c r="K49" s="376"/>
    </row>
    <row r="50" spans="2:11" ht="14.4" customHeight="1" thickBot="1" x14ac:dyDescent="0.3">
      <c r="B50" s="377"/>
      <c r="C50" s="378"/>
      <c r="D50" s="378"/>
      <c r="E50" s="378"/>
      <c r="F50" s="378"/>
      <c r="G50" s="378"/>
      <c r="H50" s="378"/>
      <c r="I50" s="378"/>
      <c r="J50" s="378"/>
      <c r="K50" s="379"/>
    </row>
    <row r="51" spans="2:11" ht="14.4" thickBot="1" x14ac:dyDescent="0.3">
      <c r="B51" s="260" t="s">
        <v>410</v>
      </c>
      <c r="C51" s="261"/>
      <c r="D51" s="261"/>
      <c r="E51" s="261"/>
      <c r="F51" s="261"/>
      <c r="G51" s="261"/>
      <c r="H51" s="261"/>
      <c r="I51" s="261"/>
      <c r="J51" s="261"/>
      <c r="K51" s="262"/>
    </row>
    <row r="52" spans="2:11" ht="7.95" customHeight="1" thickBot="1" x14ac:dyDescent="0.3"/>
    <row r="53" spans="2:11" ht="13.8" customHeight="1" thickBot="1" x14ac:dyDescent="0.3">
      <c r="H53" s="304" t="s">
        <v>49</v>
      </c>
      <c r="I53" s="305"/>
      <c r="J53" s="304" t="s">
        <v>50</v>
      </c>
      <c r="K53" s="306"/>
    </row>
    <row r="54" spans="2:11" x14ac:dyDescent="0.25">
      <c r="B54" s="307" t="s">
        <v>152</v>
      </c>
      <c r="C54" s="41">
        <v>41</v>
      </c>
      <c r="D54" s="310" t="s">
        <v>186</v>
      </c>
      <c r="E54" s="311"/>
      <c r="F54" s="311"/>
      <c r="G54" s="311"/>
      <c r="H54" s="412"/>
      <c r="I54" s="413"/>
      <c r="J54" s="412"/>
      <c r="K54" s="413"/>
    </row>
    <row r="55" spans="2:11" x14ac:dyDescent="0.25">
      <c r="B55" s="308"/>
      <c r="C55" s="81">
        <v>42</v>
      </c>
      <c r="D55" s="414" t="s">
        <v>187</v>
      </c>
      <c r="E55" s="415"/>
      <c r="F55" s="415"/>
      <c r="G55" s="415"/>
      <c r="H55" s="405"/>
      <c r="I55" s="406"/>
      <c r="J55" s="405"/>
      <c r="K55" s="406"/>
    </row>
    <row r="56" spans="2:11" x14ac:dyDescent="0.25">
      <c r="B56" s="308"/>
      <c r="C56" s="81">
        <v>43</v>
      </c>
      <c r="D56" s="414" t="s">
        <v>188</v>
      </c>
      <c r="E56" s="415"/>
      <c r="F56" s="415"/>
      <c r="G56" s="415"/>
      <c r="H56" s="405"/>
      <c r="I56" s="406"/>
      <c r="J56" s="405"/>
      <c r="K56" s="406"/>
    </row>
    <row r="57" spans="2:11" x14ac:dyDescent="0.25">
      <c r="B57" s="308"/>
      <c r="C57" s="81">
        <v>44</v>
      </c>
      <c r="D57" s="414" t="s">
        <v>189</v>
      </c>
      <c r="E57" s="415"/>
      <c r="F57" s="415"/>
      <c r="G57" s="415"/>
      <c r="H57" s="405"/>
      <c r="I57" s="406"/>
      <c r="J57" s="405"/>
      <c r="K57" s="406"/>
    </row>
    <row r="58" spans="2:11" x14ac:dyDescent="0.25">
      <c r="B58" s="308"/>
      <c r="C58" s="81">
        <v>45</v>
      </c>
      <c r="D58" s="414" t="s">
        <v>190</v>
      </c>
      <c r="E58" s="415"/>
      <c r="F58" s="415"/>
      <c r="G58" s="415"/>
      <c r="H58" s="405"/>
      <c r="I58" s="406"/>
      <c r="J58" s="405"/>
      <c r="K58" s="406"/>
    </row>
    <row r="59" spans="2:11" ht="14.4" thickBot="1" x14ac:dyDescent="0.3">
      <c r="B59" s="308"/>
      <c r="C59" s="53">
        <v>46</v>
      </c>
      <c r="D59" s="320" t="s">
        <v>191</v>
      </c>
      <c r="E59" s="321"/>
      <c r="F59" s="321"/>
      <c r="G59" s="321"/>
      <c r="H59" s="407"/>
      <c r="I59" s="408"/>
      <c r="J59" s="407"/>
      <c r="K59" s="408"/>
    </row>
    <row r="60" spans="2:11" x14ac:dyDescent="0.25">
      <c r="B60" s="308"/>
      <c r="C60" s="45">
        <v>47</v>
      </c>
      <c r="D60" s="409" t="s">
        <v>192</v>
      </c>
      <c r="E60" s="410"/>
      <c r="F60" s="410"/>
      <c r="G60" s="411"/>
      <c r="H60" s="66"/>
      <c r="I60" s="67"/>
      <c r="J60" s="66"/>
      <c r="K60" s="67"/>
    </row>
    <row r="61" spans="2:11" x14ac:dyDescent="0.25">
      <c r="B61" s="308"/>
      <c r="C61" s="46">
        <v>48</v>
      </c>
      <c r="D61" s="419" t="s">
        <v>193</v>
      </c>
      <c r="E61" s="329"/>
      <c r="F61" s="329"/>
      <c r="G61" s="420"/>
      <c r="H61" s="68"/>
      <c r="I61" s="69"/>
      <c r="J61" s="68"/>
      <c r="K61" s="69"/>
    </row>
    <row r="62" spans="2:11" ht="14.4" thickBot="1" x14ac:dyDescent="0.3">
      <c r="B62" s="308"/>
      <c r="C62" s="50">
        <v>49</v>
      </c>
      <c r="D62" s="421" t="s">
        <v>194</v>
      </c>
      <c r="E62" s="332"/>
      <c r="F62" s="332"/>
      <c r="G62" s="422"/>
      <c r="H62" s="70"/>
      <c r="I62" s="71"/>
      <c r="J62" s="70"/>
      <c r="K62" s="71"/>
    </row>
    <row r="63" spans="2:11" x14ac:dyDescent="0.25">
      <c r="B63" s="308"/>
      <c r="C63" s="51">
        <v>50</v>
      </c>
      <c r="D63" s="423" t="s">
        <v>195</v>
      </c>
      <c r="E63" s="397"/>
      <c r="F63" s="397"/>
      <c r="G63" s="398"/>
      <c r="H63" s="66"/>
      <c r="I63" s="67"/>
      <c r="J63" s="66"/>
      <c r="K63" s="67"/>
    </row>
    <row r="64" spans="2:11" x14ac:dyDescent="0.25">
      <c r="B64" s="308"/>
      <c r="C64" s="82">
        <v>51</v>
      </c>
      <c r="D64" s="423" t="s">
        <v>196</v>
      </c>
      <c r="E64" s="397"/>
      <c r="F64" s="397"/>
      <c r="G64" s="398"/>
      <c r="H64" s="68"/>
      <c r="I64" s="69"/>
      <c r="J64" s="68"/>
      <c r="K64" s="69"/>
    </row>
    <row r="65" spans="2:11" ht="14.4" thickBot="1" x14ac:dyDescent="0.3">
      <c r="B65" s="309"/>
      <c r="C65" s="52">
        <v>52</v>
      </c>
      <c r="D65" s="424" t="s">
        <v>197</v>
      </c>
      <c r="E65" s="347"/>
      <c r="F65" s="347"/>
      <c r="G65" s="399"/>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416" t="s">
        <v>186</v>
      </c>
      <c r="E67" s="417"/>
      <c r="F67" s="417"/>
      <c r="G67" s="418"/>
      <c r="H67" s="326"/>
      <c r="I67" s="327"/>
      <c r="J67" s="326"/>
      <c r="K67" s="327"/>
    </row>
    <row r="68" spans="2:11" ht="7.95" customHeight="1" thickBot="1" x14ac:dyDescent="0.35">
      <c r="B68" s="40"/>
      <c r="C68" s="40"/>
      <c r="D68" s="49"/>
      <c r="E68" s="49"/>
      <c r="F68" s="49"/>
      <c r="G68" s="49"/>
      <c r="H68" s="360"/>
      <c r="I68" s="360"/>
      <c r="J68" s="360"/>
      <c r="K68" s="360"/>
    </row>
    <row r="69" spans="2:11" x14ac:dyDescent="0.25">
      <c r="B69" s="383" t="s">
        <v>154</v>
      </c>
      <c r="C69" s="41">
        <v>54</v>
      </c>
      <c r="D69" s="310" t="s">
        <v>198</v>
      </c>
      <c r="E69" s="311"/>
      <c r="F69" s="311"/>
      <c r="G69" s="311"/>
      <c r="H69" s="412"/>
      <c r="I69" s="413"/>
      <c r="J69" s="412"/>
      <c r="K69" s="413"/>
    </row>
    <row r="70" spans="2:11" x14ac:dyDescent="0.25">
      <c r="B70" s="361"/>
      <c r="C70" s="42">
        <v>55</v>
      </c>
      <c r="D70" s="315" t="s">
        <v>199</v>
      </c>
      <c r="E70" s="316"/>
      <c r="F70" s="316"/>
      <c r="G70" s="316"/>
      <c r="H70" s="405"/>
      <c r="I70" s="406"/>
      <c r="J70" s="405"/>
      <c r="K70" s="406"/>
    </row>
    <row r="71" spans="2:11" ht="14.4" thickBot="1" x14ac:dyDescent="0.3">
      <c r="B71" s="361"/>
      <c r="C71" s="43">
        <v>56</v>
      </c>
      <c r="D71" s="320" t="s">
        <v>200</v>
      </c>
      <c r="E71" s="321"/>
      <c r="F71" s="321"/>
      <c r="G71" s="321"/>
      <c r="H71" s="425"/>
      <c r="I71" s="426"/>
      <c r="J71" s="425"/>
      <c r="K71" s="426"/>
    </row>
    <row r="72" spans="2:11" x14ac:dyDescent="0.25">
      <c r="B72" s="308"/>
      <c r="C72" s="45">
        <v>57</v>
      </c>
      <c r="D72" s="301" t="s">
        <v>201</v>
      </c>
      <c r="E72" s="302"/>
      <c r="F72" s="302"/>
      <c r="G72" s="303"/>
      <c r="H72" s="107"/>
      <c r="I72" s="108"/>
      <c r="J72" s="107"/>
      <c r="K72" s="108"/>
    </row>
    <row r="73" spans="2:11" x14ac:dyDescent="0.25">
      <c r="B73" s="308"/>
      <c r="C73" s="46">
        <v>58</v>
      </c>
      <c r="D73" s="328" t="s">
        <v>202</v>
      </c>
      <c r="E73" s="329"/>
      <c r="F73" s="329"/>
      <c r="G73" s="330"/>
      <c r="H73" s="68"/>
      <c r="I73" s="69"/>
      <c r="J73" s="68"/>
      <c r="K73" s="69"/>
    </row>
    <row r="74" spans="2:11" x14ac:dyDescent="0.25">
      <c r="B74" s="308"/>
      <c r="C74" s="46">
        <v>59</v>
      </c>
      <c r="D74" s="453" t="s">
        <v>203</v>
      </c>
      <c r="E74" s="454"/>
      <c r="F74" s="454"/>
      <c r="G74" s="455"/>
      <c r="H74" s="68"/>
      <c r="I74" s="69"/>
      <c r="J74" s="68"/>
      <c r="K74" s="69"/>
    </row>
    <row r="75" spans="2:11" ht="14.4" thickBot="1" x14ac:dyDescent="0.3">
      <c r="B75" s="309"/>
      <c r="C75" s="47">
        <v>60</v>
      </c>
      <c r="D75" s="331" t="s">
        <v>204</v>
      </c>
      <c r="E75" s="332"/>
      <c r="F75" s="332"/>
      <c r="G75" s="333"/>
      <c r="H75" s="70"/>
      <c r="I75" s="71"/>
      <c r="J75" s="70"/>
      <c r="K75" s="71"/>
    </row>
    <row r="76" spans="2:11" ht="7.95" customHeight="1" thickBot="1" x14ac:dyDescent="0.35">
      <c r="B76" s="58"/>
      <c r="C76" s="40"/>
      <c r="D76" s="49"/>
      <c r="E76" s="49"/>
      <c r="F76" s="49"/>
      <c r="G76" s="49"/>
      <c r="H76" s="40"/>
      <c r="I76" s="40"/>
      <c r="J76" s="40"/>
      <c r="K76" s="40"/>
    </row>
    <row r="77" spans="2:11" x14ac:dyDescent="0.25">
      <c r="B77" s="383" t="s">
        <v>155</v>
      </c>
      <c r="C77" s="59">
        <v>61</v>
      </c>
      <c r="D77" s="384" t="s">
        <v>205</v>
      </c>
      <c r="E77" s="385"/>
      <c r="F77" s="385"/>
      <c r="G77" s="429"/>
      <c r="H77" s="412"/>
      <c r="I77" s="413"/>
      <c r="J77" s="412"/>
      <c r="K77" s="413"/>
    </row>
    <row r="78" spans="2:11" x14ac:dyDescent="0.25">
      <c r="B78" s="361"/>
      <c r="C78" s="60">
        <v>62</v>
      </c>
      <c r="D78" s="387" t="s">
        <v>206</v>
      </c>
      <c r="E78" s="388"/>
      <c r="F78" s="388"/>
      <c r="G78" s="430"/>
      <c r="H78" s="62"/>
      <c r="I78" s="63"/>
      <c r="J78" s="62"/>
      <c r="K78" s="63"/>
    </row>
    <row r="79" spans="2:11" x14ac:dyDescent="0.25">
      <c r="B79" s="361"/>
      <c r="C79" s="60">
        <v>63</v>
      </c>
      <c r="D79" s="387" t="s">
        <v>207</v>
      </c>
      <c r="E79" s="388"/>
      <c r="F79" s="388"/>
      <c r="G79" s="430"/>
      <c r="H79" s="405"/>
      <c r="I79" s="406"/>
      <c r="J79" s="405"/>
      <c r="K79" s="406"/>
    </row>
    <row r="80" spans="2:11" ht="14.4" x14ac:dyDescent="0.3">
      <c r="B80" s="361"/>
      <c r="C80" s="60">
        <v>64</v>
      </c>
      <c r="D80" s="387" t="s">
        <v>208</v>
      </c>
      <c r="E80" s="388"/>
      <c r="F80" s="388"/>
      <c r="G80" s="430"/>
      <c r="H80" s="427"/>
      <c r="I80" s="428"/>
      <c r="J80" s="427"/>
      <c r="K80" s="428"/>
    </row>
    <row r="81" spans="2:11" ht="14.4" x14ac:dyDescent="0.3">
      <c r="B81" s="361"/>
      <c r="C81" s="60">
        <v>65</v>
      </c>
      <c r="D81" s="387" t="s">
        <v>209</v>
      </c>
      <c r="E81" s="388"/>
      <c r="F81" s="388"/>
      <c r="G81" s="430"/>
      <c r="H81" s="427"/>
      <c r="I81" s="428"/>
      <c r="J81" s="427"/>
      <c r="K81" s="428"/>
    </row>
    <row r="82" spans="2:11" ht="14.4" x14ac:dyDescent="0.3">
      <c r="B82" s="361"/>
      <c r="C82" s="60">
        <v>66</v>
      </c>
      <c r="D82" s="387" t="s">
        <v>210</v>
      </c>
      <c r="E82" s="388"/>
      <c r="F82" s="388"/>
      <c r="G82" s="430"/>
      <c r="H82" s="427"/>
      <c r="I82" s="428"/>
      <c r="J82" s="427"/>
      <c r="K82" s="428"/>
    </row>
    <row r="83" spans="2:11" ht="14.4" x14ac:dyDescent="0.3">
      <c r="B83" s="361"/>
      <c r="C83" s="60">
        <v>67</v>
      </c>
      <c r="D83" s="387" t="s">
        <v>211</v>
      </c>
      <c r="E83" s="388"/>
      <c r="F83" s="388"/>
      <c r="G83" s="430"/>
      <c r="H83" s="427"/>
      <c r="I83" s="428"/>
      <c r="J83" s="427"/>
      <c r="K83" s="428"/>
    </row>
    <row r="84" spans="2:11" ht="14.4" x14ac:dyDescent="0.3">
      <c r="B84" s="361"/>
      <c r="C84" s="60">
        <v>68</v>
      </c>
      <c r="D84" s="387" t="s">
        <v>212</v>
      </c>
      <c r="E84" s="448"/>
      <c r="F84" s="448"/>
      <c r="G84" s="449"/>
      <c r="H84" s="427"/>
      <c r="I84" s="428"/>
      <c r="J84" s="427"/>
      <c r="K84" s="428"/>
    </row>
    <row r="85" spans="2:11" ht="14.4" x14ac:dyDescent="0.3">
      <c r="B85" s="361"/>
      <c r="C85" s="60">
        <v>69</v>
      </c>
      <c r="D85" s="387" t="s">
        <v>213</v>
      </c>
      <c r="E85" s="448"/>
      <c r="F85" s="448"/>
      <c r="G85" s="449"/>
      <c r="H85" s="427"/>
      <c r="I85" s="428"/>
      <c r="J85" s="427"/>
      <c r="K85" s="428"/>
    </row>
    <row r="86" spans="2:11" ht="15" thickBot="1" x14ac:dyDescent="0.35">
      <c r="B86" s="362"/>
      <c r="C86" s="85">
        <v>70</v>
      </c>
      <c r="D86" s="450" t="s">
        <v>214</v>
      </c>
      <c r="E86" s="451"/>
      <c r="F86" s="451"/>
      <c r="G86" s="452"/>
      <c r="H86" s="431"/>
      <c r="I86" s="432"/>
      <c r="J86" s="431"/>
      <c r="K86" s="432"/>
    </row>
    <row r="87" spans="2:11" ht="14.4" thickBot="1" x14ac:dyDescent="0.3"/>
    <row r="88" spans="2:11" ht="14.4" thickBot="1" x14ac:dyDescent="0.3">
      <c r="B88" s="87" t="s">
        <v>215</v>
      </c>
      <c r="C88" s="88"/>
      <c r="D88" s="88"/>
      <c r="E88" s="89" t="s">
        <v>50</v>
      </c>
      <c r="F88" s="90" t="s">
        <v>49</v>
      </c>
      <c r="G88" s="86"/>
    </row>
    <row r="89" spans="2:11" x14ac:dyDescent="0.25">
      <c r="B89" s="444">
        <v>34</v>
      </c>
      <c r="C89" s="445"/>
      <c r="D89" s="95" t="s">
        <v>216</v>
      </c>
      <c r="E89" s="109" t="s">
        <v>217</v>
      </c>
      <c r="F89" s="110" t="s">
        <v>217</v>
      </c>
    </row>
    <row r="90" spans="2:11" ht="14.4" thickBot="1" x14ac:dyDescent="0.3">
      <c r="B90" s="433">
        <v>35</v>
      </c>
      <c r="C90" s="434"/>
      <c r="D90" s="96" t="s">
        <v>218</v>
      </c>
      <c r="E90" s="112" t="s">
        <v>217</v>
      </c>
      <c r="F90" s="111" t="s">
        <v>217</v>
      </c>
    </row>
    <row r="91" spans="2:11" ht="14.4" thickBot="1" x14ac:dyDescent="0.3"/>
    <row r="92" spans="2:11" ht="14.4" thickBot="1" x14ac:dyDescent="0.3">
      <c r="B92" s="441" t="s">
        <v>399</v>
      </c>
      <c r="C92" s="442"/>
      <c r="D92" s="442"/>
      <c r="E92" s="442"/>
      <c r="F92" s="443"/>
    </row>
    <row r="93" spans="2:11" x14ac:dyDescent="0.25">
      <c r="B93" s="444">
        <v>36</v>
      </c>
      <c r="C93" s="445"/>
      <c r="D93" s="435" t="s">
        <v>309</v>
      </c>
      <c r="E93" s="436"/>
      <c r="F93" s="113" t="s">
        <v>260</v>
      </c>
    </row>
    <row r="94" spans="2:11" x14ac:dyDescent="0.25">
      <c r="B94" s="446">
        <v>37</v>
      </c>
      <c r="C94" s="447"/>
      <c r="D94" s="94" t="s">
        <v>400</v>
      </c>
      <c r="E94" s="93"/>
      <c r="F94" s="114" t="s">
        <v>260</v>
      </c>
    </row>
    <row r="95" spans="2:11" x14ac:dyDescent="0.25">
      <c r="B95" s="446">
        <v>38</v>
      </c>
      <c r="C95" s="447"/>
      <c r="D95" s="437" t="s">
        <v>401</v>
      </c>
      <c r="E95" s="438"/>
      <c r="F95" s="114"/>
    </row>
    <row r="96" spans="2:11" ht="14.4" thickBot="1" x14ac:dyDescent="0.3">
      <c r="B96" s="433">
        <v>39</v>
      </c>
      <c r="C96" s="434"/>
      <c r="D96" s="439" t="s">
        <v>402</v>
      </c>
      <c r="E96" s="440"/>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J69:K69"/>
    <mergeCell ref="D70:G70"/>
    <mergeCell ref="H70:I70"/>
    <mergeCell ref="J70:K70"/>
    <mergeCell ref="D71:G71"/>
    <mergeCell ref="H71:I71"/>
    <mergeCell ref="J71:K71"/>
    <mergeCell ref="D72:G72"/>
    <mergeCell ref="D73:G73"/>
    <mergeCell ref="D67:G67"/>
    <mergeCell ref="H67:I67"/>
    <mergeCell ref="J67:K67"/>
    <mergeCell ref="H68:I68"/>
    <mergeCell ref="J68:K68"/>
    <mergeCell ref="D61:G61"/>
    <mergeCell ref="D62:G62"/>
    <mergeCell ref="D63:G63"/>
    <mergeCell ref="D64:G64"/>
    <mergeCell ref="D65:G65"/>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K29" sqref="K29"/>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411</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412</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413</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opLeftCell="D1" zoomScale="70" zoomScaleNormal="70" workbookViewId="0">
      <selection activeCell="Q28" sqref="Q28"/>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475</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476</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477</v>
      </c>
      <c r="H4" t="s">
        <v>478</v>
      </c>
      <c r="J4" t="s">
        <v>499</v>
      </c>
      <c r="K4">
        <v>0</v>
      </c>
      <c r="M4" t="s">
        <v>281</v>
      </c>
      <c r="N4" t="s">
        <v>273</v>
      </c>
      <c r="O4" t="s">
        <v>262</v>
      </c>
      <c r="P4" t="s">
        <v>263</v>
      </c>
      <c r="Q4" t="s">
        <v>264</v>
      </c>
      <c r="R4" t="s">
        <v>265</v>
      </c>
      <c r="S4" t="s">
        <v>266</v>
      </c>
      <c r="T4" t="s">
        <v>266</v>
      </c>
      <c r="U4" t="s">
        <v>267</v>
      </c>
    </row>
    <row r="5" spans="1:23" x14ac:dyDescent="0.3">
      <c r="C5" t="s">
        <v>56</v>
      </c>
      <c r="H5" t="s">
        <v>479</v>
      </c>
      <c r="J5" t="s">
        <v>500</v>
      </c>
      <c r="N5" t="s">
        <v>277</v>
      </c>
      <c r="O5" t="s">
        <v>269</v>
      </c>
      <c r="P5" t="s">
        <v>270</v>
      </c>
      <c r="S5" t="s">
        <v>271</v>
      </c>
      <c r="T5" t="s">
        <v>271</v>
      </c>
      <c r="U5" t="s">
        <v>272</v>
      </c>
    </row>
    <row r="6" spans="1:23" x14ac:dyDescent="0.3">
      <c r="C6" t="s">
        <v>57</v>
      </c>
      <c r="H6" t="s">
        <v>480</v>
      </c>
      <c r="J6" t="s">
        <v>501</v>
      </c>
      <c r="N6" t="s">
        <v>285</v>
      </c>
      <c r="O6" t="s">
        <v>274</v>
      </c>
      <c r="P6" t="s">
        <v>275</v>
      </c>
      <c r="U6" t="s">
        <v>276</v>
      </c>
    </row>
    <row r="7" spans="1:23" x14ac:dyDescent="0.3">
      <c r="C7" t="s">
        <v>58</v>
      </c>
      <c r="H7" t="s">
        <v>481</v>
      </c>
      <c r="J7" t="s">
        <v>502</v>
      </c>
      <c r="O7" t="s">
        <v>278</v>
      </c>
      <c r="P7" s="92" t="s">
        <v>279</v>
      </c>
      <c r="U7" t="s">
        <v>280</v>
      </c>
    </row>
    <row r="8" spans="1:23" x14ac:dyDescent="0.3">
      <c r="C8" t="s">
        <v>59</v>
      </c>
      <c r="H8" t="s">
        <v>482</v>
      </c>
      <c r="J8" t="s">
        <v>503</v>
      </c>
      <c r="O8" t="s">
        <v>282</v>
      </c>
      <c r="P8" t="s">
        <v>283</v>
      </c>
      <c r="U8" t="s">
        <v>284</v>
      </c>
    </row>
    <row r="9" spans="1:23" x14ac:dyDescent="0.3">
      <c r="H9" t="s">
        <v>483</v>
      </c>
      <c r="J9" t="s">
        <v>504</v>
      </c>
      <c r="P9" s="92" t="s">
        <v>251</v>
      </c>
      <c r="U9" t="s">
        <v>286</v>
      </c>
    </row>
    <row r="10" spans="1:23" x14ac:dyDescent="0.3">
      <c r="H10" t="s">
        <v>484</v>
      </c>
      <c r="J10" t="s">
        <v>505</v>
      </c>
      <c r="P10" t="s">
        <v>287</v>
      </c>
      <c r="U10" t="s">
        <v>288</v>
      </c>
    </row>
    <row r="11" spans="1:23" x14ac:dyDescent="0.3">
      <c r="H11" t="s">
        <v>485</v>
      </c>
      <c r="J11" t="s">
        <v>506</v>
      </c>
      <c r="P11" t="s">
        <v>289</v>
      </c>
      <c r="U11" t="s">
        <v>290</v>
      </c>
    </row>
    <row r="12" spans="1:23" x14ac:dyDescent="0.3">
      <c r="H12" s="92" t="s">
        <v>251</v>
      </c>
      <c r="J12" s="92" t="s">
        <v>251</v>
      </c>
      <c r="P12" t="s">
        <v>291</v>
      </c>
      <c r="U12" t="s">
        <v>292</v>
      </c>
    </row>
    <row r="13" spans="1:23" x14ac:dyDescent="0.3">
      <c r="H13" t="s">
        <v>486</v>
      </c>
      <c r="J13" t="s">
        <v>507</v>
      </c>
      <c r="P13" t="s">
        <v>293</v>
      </c>
      <c r="U13" t="s">
        <v>294</v>
      </c>
    </row>
    <row r="14" spans="1:23" x14ac:dyDescent="0.3">
      <c r="H14" t="s">
        <v>487</v>
      </c>
      <c r="J14" t="s">
        <v>508</v>
      </c>
      <c r="P14" t="s">
        <v>295</v>
      </c>
      <c r="U14" t="s">
        <v>296</v>
      </c>
    </row>
    <row r="15" spans="1:23" x14ac:dyDescent="0.3">
      <c r="H15" t="s">
        <v>488</v>
      </c>
      <c r="J15" t="s">
        <v>509</v>
      </c>
      <c r="P15" t="s">
        <v>297</v>
      </c>
      <c r="U15" t="s">
        <v>298</v>
      </c>
    </row>
    <row r="16" spans="1:23" x14ac:dyDescent="0.3">
      <c r="H16" s="92" t="s">
        <v>251</v>
      </c>
      <c r="J16" s="92" t="s">
        <v>251</v>
      </c>
      <c r="P16" t="s">
        <v>299</v>
      </c>
      <c r="U16" t="s">
        <v>300</v>
      </c>
    </row>
    <row r="17" spans="8:21" x14ac:dyDescent="0.3">
      <c r="H17" t="s">
        <v>489</v>
      </c>
      <c r="J17" t="s">
        <v>510</v>
      </c>
      <c r="P17" t="s">
        <v>301</v>
      </c>
      <c r="U17" t="s">
        <v>302</v>
      </c>
    </row>
    <row r="18" spans="8:21" x14ac:dyDescent="0.3">
      <c r="H18" t="s">
        <v>490</v>
      </c>
      <c r="J18" t="s">
        <v>511</v>
      </c>
      <c r="P18" s="92" t="s">
        <v>251</v>
      </c>
      <c r="U18" t="s">
        <v>303</v>
      </c>
    </row>
    <row r="19" spans="8:21" x14ac:dyDescent="0.3">
      <c r="H19" t="s">
        <v>491</v>
      </c>
      <c r="J19" t="s">
        <v>512</v>
      </c>
      <c r="P19" t="s">
        <v>304</v>
      </c>
      <c r="U19" t="s">
        <v>305</v>
      </c>
    </row>
    <row r="20" spans="8:21" x14ac:dyDescent="0.3">
      <c r="H20" t="s">
        <v>492</v>
      </c>
      <c r="J20" t="s">
        <v>513</v>
      </c>
      <c r="P20" t="s">
        <v>306</v>
      </c>
      <c r="U20" t="s">
        <v>307</v>
      </c>
    </row>
    <row r="21" spans="8:21" x14ac:dyDescent="0.3">
      <c r="H21" s="92" t="s">
        <v>251</v>
      </c>
      <c r="J21" s="92" t="s">
        <v>251</v>
      </c>
      <c r="P21" s="92" t="s">
        <v>251</v>
      </c>
      <c r="U21" t="s">
        <v>308</v>
      </c>
    </row>
    <row r="22" spans="8:21" x14ac:dyDescent="0.3">
      <c r="H22" t="s">
        <v>493</v>
      </c>
      <c r="J22" t="s">
        <v>514</v>
      </c>
      <c r="P22" t="s">
        <v>309</v>
      </c>
      <c r="U22" t="s">
        <v>310</v>
      </c>
    </row>
    <row r="23" spans="8:21" x14ac:dyDescent="0.3">
      <c r="H23" t="s">
        <v>494</v>
      </c>
      <c r="J23" t="s">
        <v>515</v>
      </c>
      <c r="P23" t="s">
        <v>311</v>
      </c>
      <c r="U23" t="s">
        <v>312</v>
      </c>
    </row>
    <row r="24" spans="8:21" x14ac:dyDescent="0.3">
      <c r="H24" t="s">
        <v>495</v>
      </c>
      <c r="J24" t="s">
        <v>516</v>
      </c>
      <c r="P24" t="s">
        <v>313</v>
      </c>
      <c r="U24" t="s">
        <v>314</v>
      </c>
    </row>
    <row r="25" spans="8:21" x14ac:dyDescent="0.3">
      <c r="H25" t="s">
        <v>496</v>
      </c>
      <c r="J25" t="s">
        <v>517</v>
      </c>
      <c r="P25" t="s">
        <v>315</v>
      </c>
      <c r="U25" t="s">
        <v>316</v>
      </c>
    </row>
    <row r="26" spans="8:21" x14ac:dyDescent="0.3">
      <c r="H26" t="s">
        <v>497</v>
      </c>
      <c r="J26" t="s">
        <v>518</v>
      </c>
      <c r="P26" s="92" t="s">
        <v>251</v>
      </c>
      <c r="U26" t="s">
        <v>317</v>
      </c>
    </row>
    <row r="27" spans="8:21" x14ac:dyDescent="0.3">
      <c r="H27" t="s">
        <v>498</v>
      </c>
      <c r="J27" t="s">
        <v>519</v>
      </c>
      <c r="P27" t="s">
        <v>318</v>
      </c>
      <c r="U27" t="s">
        <v>319</v>
      </c>
    </row>
    <row r="28" spans="8:21" x14ac:dyDescent="0.3">
      <c r="H28" s="92" t="s">
        <v>251</v>
      </c>
      <c r="J28" s="92" t="s">
        <v>251</v>
      </c>
      <c r="P28" t="s">
        <v>320</v>
      </c>
      <c r="U28" t="s">
        <v>321</v>
      </c>
    </row>
    <row r="29" spans="8:21" x14ac:dyDescent="0.3">
      <c r="H29" t="s">
        <v>499</v>
      </c>
      <c r="J29" t="s">
        <v>478</v>
      </c>
      <c r="P29" s="92" t="s">
        <v>251</v>
      </c>
      <c r="U29" t="s">
        <v>322</v>
      </c>
    </row>
    <row r="30" spans="8:21" x14ac:dyDescent="0.3">
      <c r="H30" t="s">
        <v>500</v>
      </c>
      <c r="J30" t="s">
        <v>479</v>
      </c>
      <c r="P30" t="s">
        <v>265</v>
      </c>
      <c r="U30" t="s">
        <v>323</v>
      </c>
    </row>
    <row r="31" spans="8:21" x14ac:dyDescent="0.3">
      <c r="H31" t="s">
        <v>501</v>
      </c>
      <c r="J31" t="s">
        <v>480</v>
      </c>
      <c r="P31" t="s">
        <v>264</v>
      </c>
      <c r="U31" t="s">
        <v>324</v>
      </c>
    </row>
    <row r="32" spans="8:21" x14ac:dyDescent="0.3">
      <c r="H32" t="s">
        <v>502</v>
      </c>
      <c r="J32" t="s">
        <v>481</v>
      </c>
      <c r="U32" t="s">
        <v>325</v>
      </c>
    </row>
    <row r="33" spans="8:21" x14ac:dyDescent="0.3">
      <c r="H33" t="s">
        <v>503</v>
      </c>
      <c r="J33" t="s">
        <v>482</v>
      </c>
      <c r="U33" t="s">
        <v>326</v>
      </c>
    </row>
    <row r="34" spans="8:21" x14ac:dyDescent="0.3">
      <c r="H34" t="s">
        <v>504</v>
      </c>
      <c r="J34" t="s">
        <v>483</v>
      </c>
      <c r="U34" t="s">
        <v>327</v>
      </c>
    </row>
    <row r="35" spans="8:21" x14ac:dyDescent="0.3">
      <c r="H35" t="s">
        <v>505</v>
      </c>
      <c r="J35" t="s">
        <v>484</v>
      </c>
      <c r="U35" t="s">
        <v>328</v>
      </c>
    </row>
    <row r="36" spans="8:21" x14ac:dyDescent="0.3">
      <c r="H36" t="s">
        <v>506</v>
      </c>
      <c r="J36" t="s">
        <v>485</v>
      </c>
      <c r="U36" t="s">
        <v>329</v>
      </c>
    </row>
    <row r="37" spans="8:21" x14ac:dyDescent="0.3">
      <c r="H37" s="92" t="s">
        <v>251</v>
      </c>
      <c r="J37" s="92" t="s">
        <v>251</v>
      </c>
      <c r="U37" s="92" t="s">
        <v>251</v>
      </c>
    </row>
    <row r="38" spans="8:21" x14ac:dyDescent="0.3">
      <c r="H38" t="s">
        <v>507</v>
      </c>
      <c r="J38" t="s">
        <v>486</v>
      </c>
      <c r="U38" t="s">
        <v>330</v>
      </c>
    </row>
    <row r="39" spans="8:21" x14ac:dyDescent="0.3">
      <c r="H39" t="s">
        <v>508</v>
      </c>
      <c r="J39" t="s">
        <v>487</v>
      </c>
      <c r="U39" t="s">
        <v>331</v>
      </c>
    </row>
    <row r="40" spans="8:21" x14ac:dyDescent="0.3">
      <c r="H40" t="s">
        <v>509</v>
      </c>
      <c r="J40" t="s">
        <v>488</v>
      </c>
      <c r="U40" t="s">
        <v>332</v>
      </c>
    </row>
    <row r="41" spans="8:21" x14ac:dyDescent="0.3">
      <c r="H41" s="92" t="s">
        <v>251</v>
      </c>
      <c r="J41" s="92" t="s">
        <v>251</v>
      </c>
      <c r="U41" t="s">
        <v>333</v>
      </c>
    </row>
    <row r="42" spans="8:21" x14ac:dyDescent="0.3">
      <c r="H42" t="s">
        <v>510</v>
      </c>
      <c r="J42" t="s">
        <v>489</v>
      </c>
      <c r="U42" t="s">
        <v>334</v>
      </c>
    </row>
    <row r="43" spans="8:21" x14ac:dyDescent="0.3">
      <c r="H43" t="s">
        <v>511</v>
      </c>
      <c r="J43" t="s">
        <v>490</v>
      </c>
      <c r="U43" t="s">
        <v>335</v>
      </c>
    </row>
    <row r="44" spans="8:21" x14ac:dyDescent="0.3">
      <c r="H44" t="s">
        <v>512</v>
      </c>
      <c r="J44" t="s">
        <v>491</v>
      </c>
      <c r="U44" t="s">
        <v>336</v>
      </c>
    </row>
    <row r="45" spans="8:21" x14ac:dyDescent="0.3">
      <c r="H45" t="s">
        <v>513</v>
      </c>
      <c r="J45" t="s">
        <v>492</v>
      </c>
      <c r="U45" t="s">
        <v>337</v>
      </c>
    </row>
    <row r="46" spans="8:21" x14ac:dyDescent="0.3">
      <c r="H46" s="92" t="s">
        <v>251</v>
      </c>
      <c r="J46" s="92" t="s">
        <v>251</v>
      </c>
      <c r="U46" t="s">
        <v>338</v>
      </c>
    </row>
    <row r="47" spans="8:21" x14ac:dyDescent="0.3">
      <c r="H47" t="s">
        <v>514</v>
      </c>
      <c r="J47" t="s">
        <v>493</v>
      </c>
      <c r="U47" t="s">
        <v>339</v>
      </c>
    </row>
    <row r="48" spans="8:21" x14ac:dyDescent="0.3">
      <c r="H48" t="s">
        <v>515</v>
      </c>
      <c r="J48" t="s">
        <v>494</v>
      </c>
      <c r="U48" t="s">
        <v>340</v>
      </c>
    </row>
    <row r="49" spans="8:21" x14ac:dyDescent="0.3">
      <c r="H49" t="s">
        <v>516</v>
      </c>
      <c r="J49" t="s">
        <v>495</v>
      </c>
      <c r="U49" t="s">
        <v>341</v>
      </c>
    </row>
    <row r="50" spans="8:21" x14ac:dyDescent="0.3">
      <c r="H50" t="s">
        <v>517</v>
      </c>
      <c r="J50" t="s">
        <v>496</v>
      </c>
      <c r="U50" t="s">
        <v>342</v>
      </c>
    </row>
    <row r="51" spans="8:21" x14ac:dyDescent="0.3">
      <c r="H51" t="s">
        <v>518</v>
      </c>
      <c r="J51" t="s">
        <v>497</v>
      </c>
      <c r="U51" t="s">
        <v>343</v>
      </c>
    </row>
    <row r="52" spans="8:21" x14ac:dyDescent="0.3">
      <c r="H52" t="s">
        <v>519</v>
      </c>
      <c r="J52" t="s">
        <v>498</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'Compte-rendu'!Print_Area</vt:lpstr>
      <vt:lpstr>'Evidence (0)'!Print_Area</vt:lpstr>
      <vt:lpstr>'Evidence (1)'!Print_Area</vt:lpstr>
      <vt:lpstr>'Evidence (2)'!Print_Area</vt:lpstr>
      <vt:lpstr>'Examen (0)'!Print_Area</vt:lpstr>
      <vt:lpstr>'Examen (1)'!Print_Area</vt:lpstr>
      <vt:lpstr>'Examen (2)'!Print_Area</vt:lpstr>
      <vt:lpstr>'Examen (3)'!Print_Area</vt:lpstr>
      <vt:lpstr>Légendes!Print_Area</vt:lpstr>
      <vt:lpstr>'Observations et Qualité'!Print_Area</vt:lpstr>
      <vt:lpstr>Sensibilte</vt:lpstr>
      <vt:lpstr>Systeme</vt:lpstr>
      <vt:lpstr>Terrain_de_marche</vt:lpstr>
      <vt:lpstr>Type_accident</vt:lpstr>
      <vt:lpstr>Type_pathologie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2018-06-13T09:19:41Z</cp:lastPrinted>
  <dcterms:created xsi:type="dcterms:W3CDTF">2017-11-28T07:32:02Z</dcterms:created>
  <dcterms:modified xsi:type="dcterms:W3CDTF">2018-06-26T14:13:05Z</dcterms:modified>
</cp:coreProperties>
</file>