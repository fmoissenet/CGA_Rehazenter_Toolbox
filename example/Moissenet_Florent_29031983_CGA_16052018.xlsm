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example\"/>
    </mc:Choice>
  </mc:AlternateContent>
  <bookViews>
    <workbookView xWindow="392208" yWindow="0" windowWidth="22104" windowHeight="9396" tabRatio="96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Print_Area" localSheetId="1">'Compte-rendu'!$A$1:$H$30</definedName>
    <definedName name="Print_Area" localSheetId="3">'Evidence (0)'!$A$1:$H$53</definedName>
    <definedName name="Print_Area" localSheetId="4">'Evidence (1)'!$A$1:$H$53</definedName>
    <definedName name="Print_Area" localSheetId="5">'Evidence (2)'!$A$1:$H$53</definedName>
    <definedName name="Print_Area" localSheetId="7">'Examen (0)'!$A$1:$K$97</definedName>
    <definedName name="Print_Area" localSheetId="8">'Examen (1)'!$A$1:$I$49</definedName>
    <definedName name="Print_Area" localSheetId="9">'Examen (2)'!$A$1:$I$49</definedName>
    <definedName name="Print_Area" localSheetId="10">'Examen (3)'!$A$1:$I$49</definedName>
    <definedName name="Print_Area" localSheetId="6">Légendes!$A$1:$H$41</definedName>
    <definedName name="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<sst xmlns="http://schemas.openxmlformats.org/spreadsheetml/2006/main" count="1039" uniqueCount="526">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</sst>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187588120"/>
        <c:axId val="187582240"/>
      </c:lineChart>
      <c:catAx>
        <c:axId val="187588120"/>
        <c:scaling>
          <c:orientation val="minMax"/>
        </c:scaling>
        <c:delete val="1"/>
        <c:axPos val="b"/>
        <c:majorTickMark val="none"/>
        <c:minorTickMark val="none"/>
        <c:tickLblPos val="nextTo"/>
        <c:crossAx val="187582240"/>
        <c:crosses val="autoZero"/>
        <c:auto val="1"/>
        <c:lblAlgn val="ctr"/>
        <c:lblOffset val="100"/>
        <c:noMultiLvlLbl val="0"/>
      </c:catAx>
      <c:valAx>
        <c:axId val="187582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187588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187582632"/>
        <c:axId val="187583416"/>
      </c:lineChart>
      <c:catAx>
        <c:axId val="187582632"/>
        <c:scaling>
          <c:orientation val="minMax"/>
        </c:scaling>
        <c:delete val="1"/>
        <c:axPos val="b"/>
        <c:majorTickMark val="none"/>
        <c:minorTickMark val="none"/>
        <c:tickLblPos val="nextTo"/>
        <c:crossAx val="187583416"/>
        <c:crosses val="autoZero"/>
        <c:auto val="1"/>
        <c:lblAlgn val="ctr"/>
        <c:lblOffset val="100"/>
        <c:noMultiLvlLbl val="0"/>
      </c:catAx>
      <c:valAx>
        <c:axId val="18758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187582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7588904"/>
        <c:axId val="187584200"/>
      </c:lineChart>
      <c:catAx>
        <c:axId val="187588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4200"/>
        <c:crosses val="autoZero"/>
        <c:auto val="1"/>
        <c:lblAlgn val="ctr"/>
        <c:lblOffset val="100"/>
        <c:noMultiLvlLbl val="0"/>
      </c:catAx>
      <c:valAx>
        <c:axId val="1875842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8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7584592"/>
        <c:axId val="187586944"/>
      </c:lineChart>
      <c:catAx>
        <c:axId val="187584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6944"/>
        <c:crosses val="autoZero"/>
        <c:auto val="1"/>
        <c:lblAlgn val="ctr"/>
        <c:lblOffset val="100"/>
        <c:noMultiLvlLbl val="0"/>
      </c:catAx>
      <c:valAx>
        <c:axId val="1875869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4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7584984"/>
        <c:axId val="187586552"/>
      </c:lineChart>
      <c:catAx>
        <c:axId val="187584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6552"/>
        <c:crosses val="autoZero"/>
        <c:auto val="1"/>
        <c:lblAlgn val="ctr"/>
        <c:lblOffset val="100"/>
        <c:noMultiLvlLbl val="0"/>
      </c:catAx>
      <c:valAx>
        <c:axId val="1875865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4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7587728"/>
        <c:axId val="247910360"/>
      </c:lineChart>
      <c:catAx>
        <c:axId val="187587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0360"/>
        <c:crosses val="autoZero"/>
        <c:auto val="1"/>
        <c:lblAlgn val="ctr"/>
        <c:lblOffset val="100"/>
        <c:noMultiLvlLbl val="0"/>
      </c:catAx>
      <c:valAx>
        <c:axId val="2479103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7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7917024"/>
        <c:axId val="247910752"/>
      </c:lineChart>
      <c:catAx>
        <c:axId val="2479170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0752"/>
        <c:crosses val="autoZero"/>
        <c:auto val="1"/>
        <c:lblAlgn val="ctr"/>
        <c:lblOffset val="100"/>
        <c:noMultiLvlLbl val="0"/>
      </c:catAx>
      <c:valAx>
        <c:axId val="2479107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7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7912320"/>
        <c:axId val="247915064"/>
      </c:lineChart>
      <c:catAx>
        <c:axId val="247912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5064"/>
        <c:crosses val="autoZero"/>
        <c:auto val="1"/>
        <c:lblAlgn val="ctr"/>
        <c:lblOffset val="100"/>
        <c:noMultiLvlLbl val="0"/>
      </c:catAx>
      <c:valAx>
        <c:axId val="2479150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2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7916240"/>
        <c:axId val="247914672"/>
      </c:lineChart>
      <c:catAx>
        <c:axId val="247916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4672"/>
        <c:crosses val="autoZero"/>
        <c:auto val="1"/>
        <c:lblAlgn val="ctr"/>
        <c:lblOffset val="100"/>
        <c:noMultiLvlLbl val="0"/>
      </c:catAx>
      <c:valAx>
        <c:axId val="2479146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6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7913104"/>
        <c:axId val="247911536"/>
      </c:lineChart>
      <c:catAx>
        <c:axId val="2479131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1536"/>
        <c:crosses val="autoZero"/>
        <c:auto val="1"/>
        <c:lblAlgn val="ctr"/>
        <c:lblOffset val="100"/>
        <c:noMultiLvlLbl val="0"/>
      </c:catAx>
      <c:valAx>
        <c:axId val="2479115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3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7915456"/>
        <c:axId val="247916632"/>
      </c:lineChart>
      <c:catAx>
        <c:axId val="247915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6632"/>
        <c:crosses val="autoZero"/>
        <c:auto val="1"/>
        <c:lblAlgn val="ctr"/>
        <c:lblOffset val="100"/>
        <c:noMultiLvlLbl val="0"/>
      </c:catAx>
      <c:valAx>
        <c:axId val="2479166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7917416"/>
        <c:axId val="247913888"/>
      </c:lineChart>
      <c:catAx>
        <c:axId val="247917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3888"/>
        <c:crosses val="autoZero"/>
        <c:auto val="1"/>
        <c:lblAlgn val="ctr"/>
        <c:lblOffset val="100"/>
        <c:noMultiLvlLbl val="0"/>
      </c:catAx>
      <c:valAx>
        <c:axId val="247913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7917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7581456"/>
        <c:axId val="248084816"/>
      </c:lineChart>
      <c:catAx>
        <c:axId val="18758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8084816"/>
        <c:crosses val="autoZero"/>
        <c:auto val="1"/>
        <c:lblAlgn val="ctr"/>
        <c:lblOffset val="100"/>
        <c:noMultiLvlLbl val="0"/>
      </c:catAx>
      <c:valAx>
        <c:axId val="2480848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58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8084032"/>
        <c:axId val="248082072"/>
      </c:lineChart>
      <c:catAx>
        <c:axId val="248084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8082072"/>
        <c:crosses val="autoZero"/>
        <c:auto val="1"/>
        <c:lblAlgn val="ctr"/>
        <c:lblOffset val="100"/>
        <c:noMultiLvlLbl val="0"/>
      </c:catAx>
      <c:valAx>
        <c:axId val="248082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8084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248084424"/>
        <c:axId val="248082464"/>
      </c:lineChart>
      <c:catAx>
        <c:axId val="248084424"/>
        <c:scaling>
          <c:orientation val="minMax"/>
        </c:scaling>
        <c:delete val="1"/>
        <c:axPos val="b"/>
        <c:majorTickMark val="none"/>
        <c:minorTickMark val="none"/>
        <c:tickLblPos val="nextTo"/>
        <c:crossAx val="248082464"/>
        <c:crosses val="autoZero"/>
        <c:auto val="1"/>
        <c:lblAlgn val="ctr"/>
        <c:lblOffset val="100"/>
        <c:noMultiLvlLbl val="0"/>
      </c:catAx>
      <c:valAx>
        <c:axId val="24808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48084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248089520"/>
        <c:axId val="248083248"/>
      </c:lineChart>
      <c:catAx>
        <c:axId val="248089520"/>
        <c:scaling>
          <c:orientation val="minMax"/>
        </c:scaling>
        <c:delete val="1"/>
        <c:axPos val="b"/>
        <c:majorTickMark val="none"/>
        <c:minorTickMark val="none"/>
        <c:tickLblPos val="nextTo"/>
        <c:crossAx val="248083248"/>
        <c:crosses val="autoZero"/>
        <c:auto val="1"/>
        <c:lblAlgn val="ctr"/>
        <c:lblOffset val="100"/>
        <c:noMultiLvlLbl val="0"/>
      </c:catAx>
      <c:valAx>
        <c:axId val="24808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48089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248087168"/>
        <c:axId val="248088736"/>
      </c:lineChart>
      <c:catAx>
        <c:axId val="248087168"/>
        <c:scaling>
          <c:orientation val="minMax"/>
        </c:scaling>
        <c:delete val="1"/>
        <c:axPos val="b"/>
        <c:majorTickMark val="none"/>
        <c:minorTickMark val="none"/>
        <c:tickLblPos val="nextTo"/>
        <c:crossAx val="248088736"/>
        <c:crosses val="autoZero"/>
        <c:auto val="1"/>
        <c:lblAlgn val="ctr"/>
        <c:lblOffset val="100"/>
        <c:noMultiLvlLbl val="0"/>
      </c:catAx>
      <c:valAx>
        <c:axId val="248088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4808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8082856"/>
        <c:axId val="248085208"/>
      </c:lineChart>
      <c:catAx>
        <c:axId val="248082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8085208"/>
        <c:crosses val="autoZero"/>
        <c:auto val="1"/>
        <c:lblAlgn val="ctr"/>
        <c:lblOffset val="100"/>
        <c:noMultiLvlLbl val="0"/>
      </c:catAx>
      <c:valAx>
        <c:axId val="2480852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8082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8087560"/>
        <c:axId val="248088344"/>
      </c:lineChart>
      <c:catAx>
        <c:axId val="2480875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8088344"/>
        <c:crosses val="autoZero"/>
        <c:auto val="1"/>
        <c:lblAlgn val="ctr"/>
        <c:lblOffset val="100"/>
        <c:noMultiLvlLbl val="0"/>
      </c:catAx>
      <c:valAx>
        <c:axId val="248088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8087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251072"/>
        <c:axId val="188251464"/>
      </c:lineChart>
      <c:catAx>
        <c:axId val="188251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1464"/>
        <c:crosses val="autoZero"/>
        <c:auto val="1"/>
        <c:lblAlgn val="ctr"/>
        <c:lblOffset val="100"/>
        <c:noMultiLvlLbl val="0"/>
      </c:catAx>
      <c:valAx>
        <c:axId val="1882514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1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251856"/>
        <c:axId val="188249112"/>
      </c:lineChart>
      <c:catAx>
        <c:axId val="188251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49112"/>
        <c:crosses val="autoZero"/>
        <c:auto val="1"/>
        <c:lblAlgn val="ctr"/>
        <c:lblOffset val="100"/>
        <c:noMultiLvlLbl val="0"/>
      </c:catAx>
      <c:valAx>
        <c:axId val="1882491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1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254600"/>
        <c:axId val="188253424"/>
      </c:lineChart>
      <c:catAx>
        <c:axId val="188254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3424"/>
        <c:crosses val="autoZero"/>
        <c:auto val="1"/>
        <c:lblAlgn val="ctr"/>
        <c:lblOffset val="100"/>
        <c:noMultiLvlLbl val="0"/>
      </c:catAx>
      <c:valAx>
        <c:axId val="188253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4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254992"/>
        <c:axId val="188248720"/>
      </c:lineChart>
      <c:catAx>
        <c:axId val="188254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48720"/>
        <c:crosses val="autoZero"/>
        <c:auto val="1"/>
        <c:lblAlgn val="ctr"/>
        <c:lblOffset val="100"/>
        <c:noMultiLvlLbl val="0"/>
      </c:catAx>
      <c:valAx>
        <c:axId val="188248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247936"/>
        <c:axId val="188248328"/>
      </c:lineChart>
      <c:catAx>
        <c:axId val="188247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48328"/>
        <c:crosses val="autoZero"/>
        <c:auto val="1"/>
        <c:lblAlgn val="ctr"/>
        <c:lblOffset val="100"/>
        <c:noMultiLvlLbl val="0"/>
      </c:catAx>
      <c:valAx>
        <c:axId val="1882483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47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252640"/>
        <c:axId val="188250288"/>
      </c:lineChart>
      <c:catAx>
        <c:axId val="188252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0288"/>
        <c:crosses val="autoZero"/>
        <c:auto val="1"/>
        <c:lblAlgn val="ctr"/>
        <c:lblOffset val="100"/>
        <c:noMultiLvlLbl val="0"/>
      </c:catAx>
      <c:valAx>
        <c:axId val="188250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2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252248"/>
        <c:axId val="188253816"/>
      </c:lineChart>
      <c:catAx>
        <c:axId val="188252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3816"/>
        <c:crosses val="autoZero"/>
        <c:auto val="1"/>
        <c:lblAlgn val="ctr"/>
        <c:lblOffset val="100"/>
        <c:noMultiLvlLbl val="0"/>
      </c:catAx>
      <c:valAx>
        <c:axId val="1882538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252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6842560"/>
        <c:axId val="186837464"/>
      </c:lineChart>
      <c:catAx>
        <c:axId val="1868425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837464"/>
        <c:crosses val="autoZero"/>
        <c:auto val="1"/>
        <c:lblAlgn val="ctr"/>
        <c:lblOffset val="100"/>
        <c:noMultiLvlLbl val="0"/>
      </c:catAx>
      <c:valAx>
        <c:axId val="1868374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842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6843736"/>
        <c:axId val="186840208"/>
      </c:lineChart>
      <c:catAx>
        <c:axId val="186843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840208"/>
        <c:crosses val="autoZero"/>
        <c:auto val="1"/>
        <c:lblAlgn val="ctr"/>
        <c:lblOffset val="100"/>
        <c:noMultiLvlLbl val="0"/>
      </c:catAx>
      <c:valAx>
        <c:axId val="1868402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843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6841384"/>
        <c:axId val="186841776"/>
      </c:lineChart>
      <c:catAx>
        <c:axId val="186841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841776"/>
        <c:crosses val="autoZero"/>
        <c:auto val="1"/>
        <c:lblAlgn val="ctr"/>
        <c:lblOffset val="100"/>
        <c:noMultiLvlLbl val="0"/>
      </c:catAx>
      <c:valAx>
        <c:axId val="1868417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841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186843344"/>
        <c:axId val="186838640"/>
      </c:lineChart>
      <c:catAx>
        <c:axId val="186843344"/>
        <c:scaling>
          <c:orientation val="minMax"/>
        </c:scaling>
        <c:delete val="1"/>
        <c:axPos val="b"/>
        <c:majorTickMark val="none"/>
        <c:minorTickMark val="none"/>
        <c:tickLblPos val="nextTo"/>
        <c:crossAx val="186838640"/>
        <c:crosses val="autoZero"/>
        <c:auto val="1"/>
        <c:lblAlgn val="ctr"/>
        <c:lblOffset val="100"/>
        <c:noMultiLvlLbl val="0"/>
      </c:catAx>
      <c:valAx>
        <c:axId val="18683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186843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186837072"/>
        <c:axId val="186837856"/>
      </c:lineChart>
      <c:catAx>
        <c:axId val="186837072"/>
        <c:scaling>
          <c:orientation val="minMax"/>
        </c:scaling>
        <c:delete val="1"/>
        <c:axPos val="b"/>
        <c:majorTickMark val="none"/>
        <c:minorTickMark val="none"/>
        <c:tickLblPos val="nextTo"/>
        <c:crossAx val="186837856"/>
        <c:crosses val="autoZero"/>
        <c:auto val="1"/>
        <c:lblAlgn val="ctr"/>
        <c:lblOffset val="100"/>
        <c:noMultiLvlLbl val="0"/>
      </c:catAx>
      <c:valAx>
        <c:axId val="186837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186837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186839032"/>
        <c:axId val="186839424"/>
      </c:lineChart>
      <c:catAx>
        <c:axId val="186839032"/>
        <c:scaling>
          <c:orientation val="minMax"/>
        </c:scaling>
        <c:delete val="1"/>
        <c:axPos val="b"/>
        <c:majorTickMark val="none"/>
        <c:minorTickMark val="none"/>
        <c:tickLblPos val="nextTo"/>
        <c:crossAx val="186839424"/>
        <c:crosses val="autoZero"/>
        <c:auto val="1"/>
        <c:lblAlgn val="ctr"/>
        <c:lblOffset val="100"/>
        <c:noMultiLvlLbl val="0"/>
      </c:catAx>
      <c:valAx>
        <c:axId val="18683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186839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6840992"/>
        <c:axId val="246244488"/>
      </c:lineChart>
      <c:catAx>
        <c:axId val="186840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4488"/>
        <c:crosses val="autoZero"/>
        <c:auto val="1"/>
        <c:lblAlgn val="ctr"/>
        <c:lblOffset val="100"/>
        <c:noMultiLvlLbl val="0"/>
      </c:catAx>
      <c:valAx>
        <c:axId val="2462444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840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6248408"/>
        <c:axId val="246250368"/>
      </c:lineChart>
      <c:catAx>
        <c:axId val="2462484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50368"/>
        <c:crosses val="autoZero"/>
        <c:auto val="1"/>
        <c:lblAlgn val="ctr"/>
        <c:lblOffset val="100"/>
        <c:noMultiLvlLbl val="0"/>
      </c:catAx>
      <c:valAx>
        <c:axId val="2462503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8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6244880"/>
        <c:axId val="246250760"/>
      </c:lineChart>
      <c:catAx>
        <c:axId val="2462448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50760"/>
        <c:crosses val="autoZero"/>
        <c:auto val="1"/>
        <c:lblAlgn val="ctr"/>
        <c:lblOffset val="100"/>
        <c:noMultiLvlLbl val="0"/>
      </c:catAx>
      <c:valAx>
        <c:axId val="2462507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6245664"/>
        <c:axId val="246246448"/>
      </c:lineChart>
      <c:catAx>
        <c:axId val="246245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6448"/>
        <c:crosses val="autoZero"/>
        <c:auto val="1"/>
        <c:lblAlgn val="ctr"/>
        <c:lblOffset val="100"/>
        <c:noMultiLvlLbl val="0"/>
      </c:catAx>
      <c:valAx>
        <c:axId val="246246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5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6248800"/>
        <c:axId val="246251152"/>
      </c:lineChart>
      <c:catAx>
        <c:axId val="2462488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51152"/>
        <c:crosses val="autoZero"/>
        <c:auto val="1"/>
        <c:lblAlgn val="ctr"/>
        <c:lblOffset val="100"/>
        <c:noMultiLvlLbl val="0"/>
      </c:catAx>
      <c:valAx>
        <c:axId val="2462511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8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6246840"/>
        <c:axId val="246251544"/>
      </c:lineChart>
      <c:catAx>
        <c:axId val="246246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51544"/>
        <c:crosses val="autoZero"/>
        <c:auto val="1"/>
        <c:lblAlgn val="ctr"/>
        <c:lblOffset val="100"/>
        <c:noMultiLvlLbl val="0"/>
      </c:catAx>
      <c:valAx>
        <c:axId val="2462515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6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46249584"/>
        <c:axId val="246247624"/>
      </c:lineChart>
      <c:catAx>
        <c:axId val="2462495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7624"/>
        <c:crosses val="autoZero"/>
        <c:auto val="1"/>
        <c:lblAlgn val="ctr"/>
        <c:lblOffset val="100"/>
        <c:noMultiLvlLbl val="0"/>
      </c:catAx>
      <c:valAx>
        <c:axId val="2462476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6249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051744"/>
        <c:axId val="188052136"/>
      </c:lineChart>
      <c:catAx>
        <c:axId val="1880517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2136"/>
        <c:crosses val="autoZero"/>
        <c:auto val="1"/>
        <c:lblAlgn val="ctr"/>
        <c:lblOffset val="100"/>
        <c:noMultiLvlLbl val="0"/>
      </c:catAx>
      <c:valAx>
        <c:axId val="1880521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1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053312"/>
        <c:axId val="188056448"/>
      </c:lineChart>
      <c:catAx>
        <c:axId val="1880533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6448"/>
        <c:crosses val="autoZero"/>
        <c:auto val="1"/>
        <c:lblAlgn val="ctr"/>
        <c:lblOffset val="100"/>
        <c:noMultiLvlLbl val="0"/>
      </c:catAx>
      <c:valAx>
        <c:axId val="188056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3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056840"/>
        <c:axId val="188057624"/>
      </c:lineChart>
      <c:catAx>
        <c:axId val="188056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7624"/>
        <c:crosses val="autoZero"/>
        <c:auto val="1"/>
        <c:lblAlgn val="ctr"/>
        <c:lblOffset val="100"/>
        <c:noMultiLvlLbl val="0"/>
      </c:catAx>
      <c:valAx>
        <c:axId val="1880576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6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053704"/>
        <c:axId val="188054096"/>
      </c:lineChart>
      <c:catAx>
        <c:axId val="188053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4096"/>
        <c:crosses val="autoZero"/>
        <c:auto val="1"/>
        <c:lblAlgn val="ctr"/>
        <c:lblOffset val="100"/>
        <c:noMultiLvlLbl val="0"/>
      </c:catAx>
      <c:valAx>
        <c:axId val="1880540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3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88054488"/>
        <c:axId val="188054880"/>
      </c:lineChart>
      <c:catAx>
        <c:axId val="188054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4880"/>
        <c:crosses val="autoZero"/>
        <c:auto val="1"/>
        <c:lblAlgn val="ctr"/>
        <c:lblOffset val="100"/>
        <c:noMultiLvlLbl val="0"/>
      </c:catAx>
      <c:valAx>
        <c:axId val="188054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054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188058408"/>
        <c:axId val="188058016"/>
      </c:lineChart>
      <c:catAx>
        <c:axId val="188058408"/>
        <c:scaling>
          <c:orientation val="minMax"/>
        </c:scaling>
        <c:delete val="1"/>
        <c:axPos val="b"/>
        <c:majorTickMark val="none"/>
        <c:minorTickMark val="none"/>
        <c:tickLblPos val="nextTo"/>
        <c:crossAx val="188058016"/>
        <c:crosses val="autoZero"/>
        <c:auto val="1"/>
        <c:lblAlgn val="ctr"/>
        <c:lblOffset val="100"/>
        <c:noMultiLvlLbl val="0"/>
      </c:catAx>
      <c:valAx>
        <c:axId val="18805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188058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t="s">
        <v>414</v>
      </c>
      <c r="D2" s="182"/>
      <c r="E2" s="182"/>
      <c r="F2" s="182"/>
      <c r="G2" s="182"/>
      <c r="H2" s="182"/>
      <c r="I2" s="182"/>
      <c r="J2" s="182"/>
      <c r="K2" s="183"/>
    </row>
    <row r="3" spans="2:13" x14ac:dyDescent="0.25">
      <c r="B3" s="146" t="s">
        <v>6</v>
      </c>
      <c r="C3" s="184" t="s">
        <v>415</v>
      </c>
      <c r="D3" s="184"/>
      <c r="E3" s="184"/>
      <c r="F3" s="184"/>
      <c r="G3" s="184"/>
      <c r="H3" s="184"/>
      <c r="I3" s="184"/>
      <c r="J3" s="184"/>
      <c r="K3" s="185"/>
    </row>
    <row r="4" spans="2:13" x14ac:dyDescent="0.25">
      <c r="B4" s="146" t="s">
        <v>7</v>
      </c>
      <c r="C4" s="184" t="s">
        <v>222</v>
      </c>
      <c r="D4" s="184"/>
      <c r="E4" s="184"/>
      <c r="F4" s="184"/>
      <c r="G4" s="184"/>
      <c r="H4" s="184"/>
      <c r="I4" s="184"/>
      <c r="J4" s="184"/>
      <c r="K4" s="185"/>
    </row>
    <row r="5" spans="2:13" x14ac:dyDescent="0.25">
      <c r="B5" s="146" t="s">
        <v>366</v>
      </c>
      <c r="C5" s="186">
        <v>30404</v>
      </c>
      <c r="D5" s="186"/>
      <c r="E5" s="186"/>
      <c r="F5" s="186"/>
      <c r="G5" s="186"/>
      <c r="H5" s="186"/>
      <c r="I5" s="186"/>
      <c r="J5" s="186"/>
      <c r="K5" s="187"/>
    </row>
    <row r="6" spans="2:13" x14ac:dyDescent="0.25">
      <c r="B6" s="147" t="s">
        <v>367</v>
      </c>
      <c r="C6" s="188">
        <v>66</v>
      </c>
      <c r="D6" s="188"/>
      <c r="E6" s="188"/>
      <c r="F6" s="188"/>
      <c r="G6" s="188"/>
      <c r="H6" s="188"/>
      <c r="I6" s="188"/>
      <c r="J6" s="188"/>
      <c r="K6" s="189"/>
    </row>
    <row r="7" spans="2:13" ht="14.4" thickBot="1" x14ac:dyDescent="0.3">
      <c r="B7" s="148" t="s">
        <v>368</v>
      </c>
      <c r="C7" s="190">
        <v>166</v>
      </c>
      <c r="D7" s="190"/>
      <c r="E7" s="190"/>
      <c r="F7" s="190"/>
      <c r="G7" s="190"/>
      <c r="H7" s="190"/>
      <c r="I7" s="190"/>
      <c r="J7" s="190"/>
      <c r="K7" s="191"/>
    </row>
    <row r="8" spans="2:13" ht="10.050000000000001"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203" t="s">
        <v>264</v>
      </c>
      <c r="D10" s="203"/>
      <c r="E10" s="203"/>
      <c r="F10" s="203"/>
      <c r="G10" s="203"/>
      <c r="H10" s="203"/>
      <c r="I10" s="203"/>
      <c r="J10" s="203"/>
      <c r="K10" s="204"/>
    </row>
    <row r="11" spans="2:13" ht="15" customHeight="1" x14ac:dyDescent="0.25">
      <c r="B11" s="102" t="s">
        <v>8</v>
      </c>
      <c r="C11" s="184" t="s">
        <v>60</v>
      </c>
      <c r="D11" s="184"/>
      <c r="E11" s="184"/>
      <c r="F11" s="184"/>
      <c r="G11" s="184"/>
      <c r="H11" s="184"/>
      <c r="I11" s="184"/>
      <c r="J11" s="184"/>
      <c r="K11" s="185"/>
    </row>
    <row r="12" spans="2:13" ht="15" customHeight="1" x14ac:dyDescent="0.25">
      <c r="B12" s="102" t="s">
        <v>395</v>
      </c>
      <c r="C12" s="186">
        <v>30404</v>
      </c>
      <c r="D12" s="186"/>
      <c r="E12" s="186"/>
      <c r="F12" s="186"/>
      <c r="G12" s="186"/>
      <c r="H12" s="186"/>
      <c r="I12" s="186"/>
      <c r="J12" s="186"/>
      <c r="K12" s="187"/>
      <c r="M12" s="100" t="s">
        <v>403</v>
      </c>
    </row>
    <row r="13" spans="2:13" ht="15" customHeight="1" x14ac:dyDescent="0.25">
      <c r="B13" s="102" t="s">
        <v>396</v>
      </c>
      <c r="C13" s="205" t="s">
        <v>265</v>
      </c>
      <c r="D13" s="205"/>
      <c r="E13" s="205"/>
      <c r="F13" s="205"/>
      <c r="G13" s="205"/>
      <c r="H13" s="205"/>
      <c r="I13" s="205"/>
      <c r="J13" s="205"/>
      <c r="K13" s="206"/>
    </row>
    <row r="14" spans="2:13" ht="15" customHeight="1" thickBot="1" x14ac:dyDescent="0.3">
      <c r="B14" s="149" t="s">
        <v>397</v>
      </c>
      <c r="C14" s="192" t="s">
        <v>271</v>
      </c>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194" t="s">
        <v>27</v>
      </c>
      <c r="C17" s="203" t="s">
        <v>416</v>
      </c>
      <c r="D17" s="203"/>
      <c r="E17" s="203"/>
      <c r="F17" s="203"/>
      <c r="G17" s="234" t="s">
        <v>0</v>
      </c>
      <c r="H17" s="234"/>
      <c r="I17" s="227">
        <v>30404</v>
      </c>
      <c r="J17" s="227"/>
      <c r="K17" s="228"/>
      <c r="M17" s="100" t="s">
        <v>403</v>
      </c>
    </row>
    <row r="18" spans="2:13" ht="15" customHeight="1" x14ac:dyDescent="0.25">
      <c r="B18" s="195"/>
      <c r="C18" s="184" t="s">
        <v>60</v>
      </c>
      <c r="D18" s="184"/>
      <c r="E18" s="184"/>
      <c r="F18" s="184"/>
      <c r="G18" s="233" t="s">
        <v>0</v>
      </c>
      <c r="H18" s="233"/>
      <c r="I18" s="229"/>
      <c r="J18" s="229"/>
      <c r="K18" s="230"/>
    </row>
    <row r="19" spans="2:13" ht="15" customHeight="1" x14ac:dyDescent="0.25">
      <c r="B19" s="195"/>
      <c r="C19" s="184" t="s">
        <v>60</v>
      </c>
      <c r="D19" s="184"/>
      <c r="E19" s="184"/>
      <c r="F19" s="184"/>
      <c r="G19" s="233" t="s">
        <v>0</v>
      </c>
      <c r="H19" s="233"/>
      <c r="I19" s="229"/>
      <c r="J19" s="229"/>
      <c r="K19" s="230"/>
    </row>
    <row r="20" spans="2:13" ht="15" customHeight="1" x14ac:dyDescent="0.25">
      <c r="B20" s="195"/>
      <c r="C20" s="184" t="s">
        <v>60</v>
      </c>
      <c r="D20" s="184"/>
      <c r="E20" s="184"/>
      <c r="F20" s="184"/>
      <c r="G20" s="233" t="s">
        <v>0</v>
      </c>
      <c r="H20" s="233"/>
      <c r="I20" s="229"/>
      <c r="J20" s="229"/>
      <c r="K20" s="230"/>
    </row>
    <row r="21" spans="2:13" ht="15" customHeight="1" x14ac:dyDescent="0.25">
      <c r="B21" s="195"/>
      <c r="C21" s="184" t="s">
        <v>60</v>
      </c>
      <c r="D21" s="184"/>
      <c r="E21" s="184"/>
      <c r="F21" s="184"/>
      <c r="G21" s="233" t="s">
        <v>0</v>
      </c>
      <c r="H21" s="233"/>
      <c r="I21" s="229"/>
      <c r="J21" s="229"/>
      <c r="K21" s="230"/>
    </row>
    <row r="22" spans="2:13" ht="15" customHeight="1" thickBot="1" x14ac:dyDescent="0.3">
      <c r="B22" s="196"/>
      <c r="C22" s="207" t="s">
        <v>417</v>
      </c>
      <c r="D22" s="207"/>
      <c r="E22" s="207"/>
      <c r="F22" s="207"/>
      <c r="G22" s="226" t="s">
        <v>0</v>
      </c>
      <c r="H22" s="226"/>
      <c r="I22" s="231">
        <v>43188</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t="s">
        <v>241</v>
      </c>
      <c r="D25" s="203"/>
      <c r="E25" s="203"/>
      <c r="F25" s="203"/>
      <c r="G25" s="203"/>
      <c r="H25" s="203"/>
      <c r="I25" s="203"/>
      <c r="J25" s="203"/>
      <c r="K25" s="204"/>
    </row>
    <row r="26" spans="2:13" x14ac:dyDescent="0.25">
      <c r="B26" s="102" t="s">
        <v>10</v>
      </c>
      <c r="C26" s="184" t="s">
        <v>261</v>
      </c>
      <c r="D26" s="184"/>
      <c r="E26" s="184"/>
      <c r="F26" s="184"/>
      <c r="G26" s="184"/>
      <c r="H26" s="184"/>
      <c r="I26" s="184"/>
      <c r="J26" s="184"/>
      <c r="K26" s="185"/>
    </row>
    <row r="27" spans="2:13" x14ac:dyDescent="0.25">
      <c r="B27" s="102" t="s">
        <v>0</v>
      </c>
      <c r="C27" s="186">
        <v>43236</v>
      </c>
      <c r="D27" s="186"/>
      <c r="E27" s="186"/>
      <c r="F27" s="186"/>
      <c r="G27" s="186"/>
      <c r="H27" s="186"/>
      <c r="I27" s="186"/>
      <c r="J27" s="186"/>
      <c r="K27" s="187"/>
    </row>
    <row r="28" spans="2:13" x14ac:dyDescent="0.25">
      <c r="B28" s="102" t="s">
        <v>11</v>
      </c>
      <c r="C28" s="184" t="s">
        <v>278</v>
      </c>
      <c r="D28" s="184"/>
      <c r="E28" s="184"/>
      <c r="F28" s="184"/>
      <c r="G28" s="184"/>
      <c r="H28" s="184"/>
      <c r="I28" s="184"/>
      <c r="J28" s="184"/>
      <c r="K28" s="185"/>
    </row>
    <row r="29" spans="2:13" ht="76.8" customHeight="1" thickBot="1" x14ac:dyDescent="0.3">
      <c r="B29" s="103" t="s">
        <v>25</v>
      </c>
      <c r="C29" s="198" t="s">
        <v>418</v>
      </c>
      <c r="D29" s="198"/>
      <c r="E29" s="198"/>
      <c r="F29" s="198"/>
      <c r="G29" s="198"/>
      <c r="H29" s="198"/>
      <c r="I29" s="198"/>
      <c r="J29" s="198"/>
      <c r="K29" s="199"/>
    </row>
    <row r="30" spans="2:13" ht="10.050000000000001" customHeight="1" thickBot="1" x14ac:dyDescent="0.3"/>
    <row r="31" spans="2:13" ht="14.4" thickBot="1" x14ac:dyDescent="0.3">
      <c r="B31" s="178" t="s">
        <v>370</v>
      </c>
      <c r="C31" s="179"/>
      <c r="D31" s="179"/>
      <c r="E31" s="179"/>
      <c r="F31" s="179"/>
      <c r="G31" s="179"/>
      <c r="H31" s="179"/>
      <c r="I31" s="179"/>
      <c r="J31" s="179"/>
      <c r="K31" s="180"/>
    </row>
    <row r="32" spans="2:13" x14ac:dyDescent="0.25">
      <c r="B32" s="212" t="s">
        <v>371</v>
      </c>
      <c r="C32" s="213"/>
      <c r="D32" s="213"/>
      <c r="E32" s="213"/>
      <c r="F32" s="214" t="s">
        <v>238</v>
      </c>
      <c r="G32" s="214"/>
      <c r="H32" s="214"/>
      <c r="I32" s="214"/>
      <c r="J32" s="214"/>
      <c r="K32" s="215"/>
    </row>
    <row r="33" spans="2:13" x14ac:dyDescent="0.25">
      <c r="B33" s="216" t="s">
        <v>372</v>
      </c>
      <c r="C33" s="217"/>
      <c r="D33" s="197" t="s">
        <v>375</v>
      </c>
      <c r="E33" s="197"/>
      <c r="F33" s="205" t="s">
        <v>476</v>
      </c>
      <c r="G33" s="205"/>
      <c r="H33" s="205"/>
      <c r="I33" s="205"/>
      <c r="J33" s="205"/>
      <c r="K33" s="206"/>
    </row>
    <row r="34" spans="2:13" x14ac:dyDescent="0.25">
      <c r="B34" s="218"/>
      <c r="C34" s="219"/>
      <c r="D34" s="197" t="s">
        <v>374</v>
      </c>
      <c r="E34" s="197"/>
      <c r="F34" s="205" t="s">
        <v>475</v>
      </c>
      <c r="G34" s="205"/>
      <c r="H34" s="205"/>
      <c r="I34" s="205"/>
      <c r="J34" s="205"/>
      <c r="K34" s="206"/>
    </row>
    <row r="35" spans="2:13" x14ac:dyDescent="0.25">
      <c r="B35" s="218"/>
      <c r="C35" s="219"/>
      <c r="D35" s="197" t="s">
        <v>376</v>
      </c>
      <c r="E35" s="197"/>
      <c r="F35" s="205" t="s">
        <v>475</v>
      </c>
      <c r="G35" s="205"/>
      <c r="H35" s="205"/>
      <c r="I35" s="205"/>
      <c r="J35" s="205"/>
      <c r="K35" s="206"/>
    </row>
    <row r="36" spans="2:13" x14ac:dyDescent="0.25">
      <c r="B36" s="220"/>
      <c r="C36" s="221"/>
      <c r="D36" s="197" t="s">
        <v>377</v>
      </c>
      <c r="E36" s="197"/>
      <c r="F36" s="205" t="s">
        <v>475</v>
      </c>
      <c r="G36" s="205"/>
      <c r="H36" s="205"/>
      <c r="I36" s="205"/>
      <c r="J36" s="205"/>
      <c r="K36" s="206"/>
    </row>
    <row r="37" spans="2:13" x14ac:dyDescent="0.25">
      <c r="B37" s="222" t="s">
        <v>373</v>
      </c>
      <c r="C37" s="223"/>
      <c r="D37" s="152">
        <v>1</v>
      </c>
      <c r="E37" s="165" t="s">
        <v>499</v>
      </c>
      <c r="F37" s="166" t="s">
        <v>478</v>
      </c>
      <c r="G37" s="153">
        <v>9</v>
      </c>
      <c r="H37" s="208"/>
      <c r="I37" s="208"/>
      <c r="J37" s="208"/>
      <c r="K37" s="209"/>
    </row>
    <row r="38" spans="2:13" x14ac:dyDescent="0.25">
      <c r="B38" s="222"/>
      <c r="C38" s="223"/>
      <c r="D38" s="154">
        <v>2</v>
      </c>
      <c r="E38" s="167" t="s">
        <v>500</v>
      </c>
      <c r="F38" s="168" t="s">
        <v>479</v>
      </c>
      <c r="G38" s="155">
        <v>10</v>
      </c>
      <c r="H38" s="208"/>
      <c r="I38" s="208"/>
      <c r="J38" s="208"/>
      <c r="K38" s="209"/>
    </row>
    <row r="39" spans="2:13" x14ac:dyDescent="0.25">
      <c r="B39" s="222"/>
      <c r="C39" s="223"/>
      <c r="D39" s="156">
        <v>3</v>
      </c>
      <c r="E39" s="167" t="s">
        <v>501</v>
      </c>
      <c r="F39" s="168" t="s">
        <v>480</v>
      </c>
      <c r="G39" s="155">
        <v>11</v>
      </c>
      <c r="H39" s="208"/>
      <c r="I39" s="208"/>
      <c r="J39" s="208"/>
      <c r="K39" s="209"/>
    </row>
    <row r="40" spans="2:13" x14ac:dyDescent="0.25">
      <c r="B40" s="222"/>
      <c r="C40" s="223"/>
      <c r="D40" s="154">
        <v>4</v>
      </c>
      <c r="E40" s="167" t="s">
        <v>502</v>
      </c>
      <c r="F40" s="168" t="s">
        <v>481</v>
      </c>
      <c r="G40" s="155">
        <v>12</v>
      </c>
      <c r="H40" s="208"/>
      <c r="I40" s="208"/>
      <c r="J40" s="208"/>
      <c r="K40" s="209"/>
    </row>
    <row r="41" spans="2:13" x14ac:dyDescent="0.25">
      <c r="B41" s="222"/>
      <c r="C41" s="223"/>
      <c r="D41" s="156">
        <v>5</v>
      </c>
      <c r="E41" s="167" t="s">
        <v>503</v>
      </c>
      <c r="F41" s="168" t="s">
        <v>482</v>
      </c>
      <c r="G41" s="155">
        <v>13</v>
      </c>
      <c r="H41" s="208"/>
      <c r="I41" s="208"/>
      <c r="J41" s="208"/>
      <c r="K41" s="209"/>
    </row>
    <row r="42" spans="2:13" x14ac:dyDescent="0.25">
      <c r="B42" s="222"/>
      <c r="C42" s="223"/>
      <c r="D42" s="154">
        <v>6</v>
      </c>
      <c r="E42" s="167" t="s">
        <v>504</v>
      </c>
      <c r="F42" s="168" t="s">
        <v>483</v>
      </c>
      <c r="G42" s="155">
        <v>14</v>
      </c>
      <c r="H42" s="208"/>
      <c r="I42" s="208"/>
      <c r="J42" s="208"/>
      <c r="K42" s="209"/>
    </row>
    <row r="43" spans="2:13" x14ac:dyDescent="0.25">
      <c r="B43" s="222"/>
      <c r="C43" s="223"/>
      <c r="D43" s="156">
        <v>7</v>
      </c>
      <c r="E43" s="167" t="s">
        <v>505</v>
      </c>
      <c r="F43" s="168" t="s">
        <v>484</v>
      </c>
      <c r="G43" s="155">
        <v>15</v>
      </c>
      <c r="H43" s="208"/>
      <c r="I43" s="208"/>
      <c r="J43" s="208"/>
      <c r="K43" s="209"/>
    </row>
    <row r="44" spans="2:13" ht="14.4" thickBot="1" x14ac:dyDescent="0.3">
      <c r="B44" s="224"/>
      <c r="C44" s="225"/>
      <c r="D44" s="157">
        <v>8</v>
      </c>
      <c r="E44" s="169" t="s">
        <v>506</v>
      </c>
      <c r="F44" s="170" t="s">
        <v>485</v>
      </c>
      <c r="G44" s="158">
        <v>16</v>
      </c>
      <c r="H44" s="210"/>
      <c r="I44" s="210"/>
      <c r="J44" s="210"/>
      <c r="K44" s="211"/>
    </row>
    <row r="45" spans="2:13" ht="10.050000000000001" customHeight="1" thickBot="1" x14ac:dyDescent="0.3"/>
    <row r="46" spans="2:13" ht="14.4" thickBot="1" x14ac:dyDescent="0.3">
      <c r="B46" s="178" t="s">
        <v>378</v>
      </c>
      <c r="C46" s="179"/>
      <c r="D46" s="179"/>
      <c r="E46" s="179"/>
      <c r="F46" s="179"/>
      <c r="G46" s="179"/>
      <c r="H46" s="179"/>
      <c r="I46" s="179"/>
      <c r="J46" s="179"/>
      <c r="K46" s="180"/>
    </row>
    <row r="47" spans="2:13" x14ac:dyDescent="0.25">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5">
      <c r="B48" s="176" t="s">
        <v>385</v>
      </c>
      <c r="C48" s="172"/>
      <c r="D48" s="172"/>
      <c r="E48" s="173" t="s">
        <v>390</v>
      </c>
      <c r="F48" s="174"/>
      <c r="G48" s="175" t="s">
        <v>474</v>
      </c>
      <c r="H48" s="175"/>
      <c r="I48" s="175"/>
      <c r="J48" s="175"/>
      <c r="K48" s="175"/>
      <c r="M48" s="173" t="s">
        <v>390</v>
      </c>
    </row>
    <row r="49" spans="2:15" x14ac:dyDescent="0.25">
      <c r="B49" s="171" t="s">
        <v>386</v>
      </c>
      <c r="C49" s="172"/>
      <c r="D49" s="172"/>
      <c r="E49" s="173"/>
      <c r="F49" s="174"/>
      <c r="G49" s="175"/>
      <c r="H49" s="175"/>
      <c r="I49" s="175"/>
      <c r="J49" s="175"/>
      <c r="K49" s="175"/>
      <c r="M49" s="173" t="s">
        <v>391</v>
      </c>
    </row>
    <row r="50" spans="2:15" x14ac:dyDescent="0.25">
      <c r="B50" s="171" t="s">
        <v>387</v>
      </c>
      <c r="C50" s="172"/>
      <c r="D50" s="172"/>
      <c r="E50" s="173"/>
      <c r="F50" s="174"/>
      <c r="G50" s="175"/>
      <c r="H50" s="175"/>
      <c r="I50" s="175"/>
      <c r="J50" s="175"/>
      <c r="K50" s="175"/>
    </row>
    <row r="51" spans="2:15" ht="14.4" x14ac:dyDescent="0.3">
      <c r="B51" s="171" t="s">
        <v>388</v>
      </c>
      <c r="C51" s="172"/>
      <c r="D51" s="172"/>
      <c r="E51" s="173"/>
      <c r="F51" s="174"/>
      <c r="G51" s="175"/>
      <c r="H51" s="175"/>
      <c r="I51" s="175"/>
      <c r="J51" s="175"/>
      <c r="K51" s="175"/>
      <c r="M51" s="176"/>
      <c r="N51" s="163" t="s">
        <v>392</v>
      </c>
      <c r="O51" s="164"/>
    </row>
    <row r="52" spans="2:15" ht="14.4" x14ac:dyDescent="0.3">
      <c r="B52" s="171" t="s">
        <v>389</v>
      </c>
      <c r="C52" s="172"/>
      <c r="D52" s="172"/>
      <c r="E52" s="173"/>
      <c r="F52" s="174"/>
      <c r="G52" s="175"/>
      <c r="H52" s="175"/>
      <c r="I52" s="175"/>
      <c r="J52" s="175"/>
      <c r="K52" s="175"/>
      <c r="M52" s="171"/>
      <c r="N52" s="163" t="s">
        <v>393</v>
      </c>
      <c r="O52" s="164"/>
    </row>
    <row r="53" spans="2:15" x14ac:dyDescent="0.25">
      <c r="B53" s="171" t="s">
        <v>520</v>
      </c>
      <c r="C53" s="172"/>
      <c r="D53" s="172"/>
      <c r="E53" s="173"/>
      <c r="F53" s="174"/>
      <c r="G53" s="175"/>
      <c r="H53" s="175"/>
      <c r="I53" s="175"/>
      <c r="J53" s="175"/>
      <c r="K53" s="175"/>
    </row>
    <row r="54" spans="2:15" x14ac:dyDescent="0.25">
      <c r="B54" s="171" t="s">
        <v>521</v>
      </c>
      <c r="C54" s="172"/>
      <c r="D54" s="172"/>
      <c r="E54" s="173"/>
      <c r="F54" s="174"/>
      <c r="G54" s="175"/>
      <c r="H54" s="175"/>
      <c r="I54" s="175"/>
      <c r="J54" s="175"/>
      <c r="K54" s="175"/>
    </row>
    <row r="55" spans="2:15" x14ac:dyDescent="0.25">
      <c r="B55" s="171" t="s">
        <v>522</v>
      </c>
      <c r="C55" s="172"/>
      <c r="D55" s="172"/>
      <c r="E55" s="173"/>
      <c r="F55" s="174"/>
      <c r="G55" s="175"/>
      <c r="H55" s="175"/>
      <c r="I55" s="175"/>
      <c r="J55" s="175"/>
      <c r="K55" s="175"/>
    </row>
    <row r="56" spans="2:15" x14ac:dyDescent="0.25">
      <c r="B56" s="171" t="s">
        <v>523</v>
      </c>
      <c r="C56" s="172"/>
      <c r="D56" s="172"/>
      <c r="E56" s="173"/>
      <c r="F56" s="174"/>
      <c r="G56" s="175"/>
      <c r="H56" s="175"/>
      <c r="I56" s="175"/>
      <c r="J56" s="175"/>
      <c r="K56" s="175"/>
    </row>
    <row r="57" spans="2:15" x14ac:dyDescent="0.25">
      <c r="B57" s="171" t="s">
        <v>524</v>
      </c>
      <c r="C57" s="172"/>
      <c r="D57" s="172"/>
      <c r="E57" s="173"/>
      <c r="F57" s="174"/>
      <c r="G57" s="175"/>
      <c r="H57" s="175"/>
      <c r="I57" s="175"/>
      <c r="J57" s="175"/>
      <c r="K57" s="175"/>
    </row>
    <row r="58" spans="2:15" x14ac:dyDescent="0.25">
      <c r="B58" s="176" t="s">
        <v>419</v>
      </c>
      <c r="C58" s="173"/>
      <c r="D58" s="173"/>
      <c r="E58" s="173" t="s">
        <v>391</v>
      </c>
      <c r="F58" s="174"/>
      <c r="G58" s="175" t="s">
        <v>474</v>
      </c>
      <c r="H58" s="175"/>
      <c r="I58" s="175"/>
      <c r="J58" s="175"/>
      <c r="K58" s="173"/>
    </row>
    <row r="59" spans="2:15" x14ac:dyDescent="0.25">
      <c r="B59" s="176" t="s">
        <v>420</v>
      </c>
      <c r="C59" s="173"/>
      <c r="D59" s="173"/>
      <c r="E59" s="173" t="s">
        <v>391</v>
      </c>
      <c r="F59" s="174"/>
      <c r="G59" s="175" t="s">
        <v>474</v>
      </c>
      <c r="H59" s="175"/>
      <c r="I59" s="175"/>
      <c r="J59" s="175"/>
      <c r="K59" s="173"/>
    </row>
    <row r="60" spans="2:15" x14ac:dyDescent="0.25">
      <c r="B60" s="176" t="s">
        <v>421</v>
      </c>
      <c r="C60" s="173"/>
      <c r="D60" s="173"/>
      <c r="E60" s="173" t="s">
        <v>391</v>
      </c>
      <c r="F60" s="174"/>
      <c r="G60" s="175" t="s">
        <v>474</v>
      </c>
      <c r="H60" s="175"/>
      <c r="I60" s="175"/>
      <c r="J60" s="175"/>
      <c r="K60" s="173"/>
    </row>
    <row r="61" spans="2:15" x14ac:dyDescent="0.25">
      <c r="B61" s="176" t="s">
        <v>422</v>
      </c>
      <c r="C61" s="173"/>
      <c r="D61" s="173"/>
      <c r="E61" s="173" t="s">
        <v>391</v>
      </c>
      <c r="F61" s="174"/>
      <c r="G61" s="175" t="s">
        <v>474</v>
      </c>
      <c r="H61" s="175"/>
      <c r="I61" s="175"/>
      <c r="J61" s="175"/>
      <c r="K61" s="173"/>
    </row>
    <row r="62" spans="2:15" x14ac:dyDescent="0.25">
      <c r="B62" s="176" t="s">
        <v>423</v>
      </c>
      <c r="C62" s="173"/>
      <c r="D62" s="173"/>
      <c r="E62" s="173" t="s">
        <v>391</v>
      </c>
      <c r="F62" s="174"/>
      <c r="G62" s="175" t="s">
        <v>474</v>
      </c>
      <c r="H62" s="175"/>
      <c r="I62" s="175"/>
      <c r="J62" s="175"/>
      <c r="K62" s="173"/>
    </row>
    <row r="63" spans="2:15" x14ac:dyDescent="0.25">
      <c r="B63" s="171" t="s">
        <v>424</v>
      </c>
      <c r="C63" s="173"/>
      <c r="D63" s="173"/>
      <c r="E63" s="173"/>
      <c r="F63" s="174"/>
      <c r="G63" s="175"/>
      <c r="H63" s="175"/>
      <c r="I63" s="175"/>
      <c r="J63" s="175"/>
      <c r="K63" s="173"/>
    </row>
    <row r="64" spans="2:15" x14ac:dyDescent="0.25">
      <c r="B64" s="171" t="s">
        <v>425</v>
      </c>
      <c r="C64" s="173"/>
      <c r="D64" s="173"/>
      <c r="E64" s="173"/>
      <c r="F64" s="174"/>
      <c r="G64" s="175"/>
      <c r="H64" s="175"/>
      <c r="I64" s="175"/>
      <c r="J64" s="175"/>
      <c r="K64" s="173"/>
    </row>
    <row r="65" spans="2:11" x14ac:dyDescent="0.25">
      <c r="B65" s="171" t="s">
        <v>426</v>
      </c>
      <c r="C65" s="173"/>
      <c r="D65" s="173"/>
      <c r="E65" s="173"/>
      <c r="F65" s="174"/>
      <c r="G65" s="175"/>
      <c r="H65" s="175"/>
      <c r="I65" s="175"/>
      <c r="J65" s="175"/>
      <c r="K65" s="173"/>
    </row>
    <row r="66" spans="2:11" x14ac:dyDescent="0.25">
      <c r="B66" s="171" t="s">
        <v>427</v>
      </c>
      <c r="C66" s="173"/>
      <c r="D66" s="173"/>
      <c r="E66" s="173"/>
      <c r="F66" s="174"/>
      <c r="G66" s="175"/>
      <c r="H66" s="175"/>
      <c r="I66" s="175"/>
      <c r="J66" s="175"/>
      <c r="K66" s="173"/>
    </row>
    <row r="67" spans="2:11" x14ac:dyDescent="0.25">
      <c r="B67" s="171" t="s">
        <v>428</v>
      </c>
      <c r="C67" s="173"/>
      <c r="D67" s="173"/>
      <c r="E67" s="173"/>
      <c r="F67" s="174"/>
      <c r="G67" s="175"/>
      <c r="H67" s="175"/>
      <c r="I67" s="175"/>
      <c r="J67" s="175"/>
      <c r="K67" s="173"/>
    </row>
    <row r="68" spans="2:11" x14ac:dyDescent="0.25">
      <c r="B68" s="171" t="s">
        <v>429</v>
      </c>
      <c r="C68" s="173"/>
      <c r="D68" s="173"/>
      <c r="E68" s="173"/>
      <c r="F68" s="174"/>
      <c r="G68" s="175"/>
      <c r="H68" s="175"/>
      <c r="I68" s="175"/>
      <c r="J68" s="175"/>
      <c r="K68" s="173"/>
    </row>
    <row r="69" spans="2:11" x14ac:dyDescent="0.25">
      <c r="B69" s="171" t="s">
        <v>430</v>
      </c>
      <c r="C69" s="173"/>
      <c r="D69" s="173"/>
      <c r="E69" s="173"/>
      <c r="F69" s="174"/>
      <c r="G69" s="175"/>
      <c r="H69" s="175"/>
      <c r="I69" s="175"/>
      <c r="J69" s="175"/>
      <c r="K69" s="173"/>
    </row>
    <row r="70" spans="2:11" x14ac:dyDescent="0.25">
      <c r="B70" s="171" t="s">
        <v>431</v>
      </c>
      <c r="C70" s="173"/>
      <c r="D70" s="173"/>
      <c r="E70" s="173"/>
      <c r="F70" s="174"/>
      <c r="G70" s="175"/>
      <c r="H70" s="175"/>
      <c r="I70" s="175"/>
      <c r="J70" s="175"/>
      <c r="K70" s="173"/>
    </row>
    <row r="71" spans="2:11" x14ac:dyDescent="0.25">
      <c r="B71" s="171" t="s">
        <v>432</v>
      </c>
      <c r="C71" s="173"/>
      <c r="D71" s="173"/>
      <c r="E71" s="173"/>
      <c r="F71" s="174"/>
      <c r="G71" s="175"/>
      <c r="H71" s="175"/>
      <c r="I71" s="175"/>
      <c r="J71" s="175"/>
      <c r="K71" s="173"/>
    </row>
    <row r="72" spans="2:11" x14ac:dyDescent="0.25">
      <c r="B72" s="171" t="s">
        <v>433</v>
      </c>
      <c r="C72" s="173"/>
      <c r="D72" s="173"/>
      <c r="E72" s="173"/>
      <c r="F72" s="174"/>
      <c r="G72" s="175"/>
      <c r="H72" s="175"/>
      <c r="I72" s="175"/>
      <c r="J72" s="175"/>
      <c r="K72" s="173"/>
    </row>
    <row r="73" spans="2:11" x14ac:dyDescent="0.25">
      <c r="B73" s="171" t="s">
        <v>434</v>
      </c>
      <c r="C73" s="173"/>
      <c r="D73" s="173"/>
      <c r="E73" s="173"/>
      <c r="F73" s="174"/>
      <c r="G73" s="175"/>
      <c r="H73" s="175"/>
      <c r="I73" s="175"/>
      <c r="J73" s="175"/>
      <c r="K73" s="173"/>
    </row>
    <row r="74" spans="2:11" x14ac:dyDescent="0.25">
      <c r="B74" s="171" t="s">
        <v>435</v>
      </c>
      <c r="C74" s="173"/>
      <c r="D74" s="173"/>
      <c r="E74" s="173"/>
      <c r="F74" s="174"/>
      <c r="G74" s="175"/>
      <c r="H74" s="175"/>
      <c r="I74" s="175"/>
      <c r="J74" s="175"/>
      <c r="K74" s="173"/>
    </row>
    <row r="75" spans="2:11" x14ac:dyDescent="0.25">
      <c r="B75" s="171" t="s">
        <v>436</v>
      </c>
      <c r="C75" s="173"/>
      <c r="D75" s="173"/>
      <c r="E75" s="173"/>
      <c r="F75" s="174"/>
      <c r="G75" s="175"/>
      <c r="H75" s="175"/>
      <c r="I75" s="175"/>
      <c r="J75" s="175"/>
      <c r="K75" s="173"/>
    </row>
    <row r="76" spans="2:11" x14ac:dyDescent="0.25">
      <c r="B76" s="171" t="s">
        <v>437</v>
      </c>
      <c r="C76" s="173"/>
      <c r="D76" s="173"/>
      <c r="E76" s="173"/>
      <c r="F76" s="174"/>
      <c r="G76" s="175"/>
      <c r="H76" s="175"/>
      <c r="I76" s="175"/>
      <c r="J76" s="175"/>
      <c r="K76" s="173"/>
    </row>
    <row r="77" spans="2:11" x14ac:dyDescent="0.25">
      <c r="B77" s="171" t="s">
        <v>438</v>
      </c>
      <c r="C77" s="173"/>
      <c r="D77" s="173"/>
      <c r="E77" s="173"/>
      <c r="F77" s="174"/>
      <c r="G77" s="175"/>
      <c r="H77" s="175"/>
      <c r="I77" s="175"/>
      <c r="J77" s="175"/>
      <c r="K77" s="173"/>
    </row>
    <row r="78" spans="2:11" x14ac:dyDescent="0.25">
      <c r="B78" s="171" t="s">
        <v>439</v>
      </c>
      <c r="C78" s="173"/>
      <c r="D78" s="173"/>
      <c r="E78" s="173"/>
      <c r="F78" s="174"/>
      <c r="G78" s="175"/>
      <c r="H78" s="175"/>
      <c r="I78" s="175"/>
      <c r="J78" s="175"/>
      <c r="K78" s="173"/>
    </row>
    <row r="79" spans="2:11" x14ac:dyDescent="0.25">
      <c r="B79" s="171" t="s">
        <v>440</v>
      </c>
      <c r="C79" s="173"/>
      <c r="D79" s="173"/>
      <c r="E79" s="173"/>
      <c r="F79" s="174"/>
      <c r="G79" s="175"/>
      <c r="H79" s="175"/>
      <c r="I79" s="175"/>
      <c r="J79" s="175"/>
      <c r="K79" s="173"/>
    </row>
    <row r="80" spans="2:11" x14ac:dyDescent="0.25">
      <c r="B80" s="171" t="s">
        <v>441</v>
      </c>
      <c r="C80" s="173"/>
      <c r="D80" s="173"/>
      <c r="E80" s="173"/>
      <c r="F80" s="174"/>
      <c r="G80" s="175"/>
      <c r="H80" s="175"/>
      <c r="I80" s="175"/>
      <c r="J80" s="175"/>
      <c r="K80" s="173"/>
    </row>
    <row r="81" spans="2:11" x14ac:dyDescent="0.25">
      <c r="B81" s="171" t="s">
        <v>442</v>
      </c>
      <c r="C81" s="173"/>
      <c r="D81" s="173"/>
      <c r="E81" s="173"/>
      <c r="F81" s="174"/>
      <c r="G81" s="175"/>
      <c r="H81" s="175"/>
      <c r="I81" s="175"/>
      <c r="J81" s="175"/>
      <c r="K81" s="173"/>
    </row>
    <row r="82" spans="2:11" x14ac:dyDescent="0.25">
      <c r="B82" s="171" t="s">
        <v>443</v>
      </c>
      <c r="C82" s="173"/>
      <c r="D82" s="173"/>
      <c r="E82" s="173"/>
      <c r="F82" s="174"/>
      <c r="G82" s="175"/>
      <c r="H82" s="175"/>
      <c r="I82" s="175"/>
      <c r="J82" s="175"/>
      <c r="K82" s="173"/>
    </row>
    <row r="83" spans="2:11" x14ac:dyDescent="0.25">
      <c r="B83" s="171" t="s">
        <v>444</v>
      </c>
      <c r="C83" s="173"/>
      <c r="D83" s="173"/>
      <c r="E83" s="173"/>
      <c r="F83" s="174"/>
      <c r="G83" s="175"/>
      <c r="H83" s="175"/>
      <c r="I83" s="175"/>
      <c r="J83" s="175"/>
      <c r="K83" s="173"/>
    </row>
    <row r="84" spans="2:11" x14ac:dyDescent="0.25">
      <c r="B84" s="171" t="s">
        <v>445</v>
      </c>
      <c r="C84" s="173"/>
      <c r="D84" s="173"/>
      <c r="E84" s="173"/>
      <c r="F84" s="174"/>
      <c r="G84" s="175"/>
      <c r="H84" s="175"/>
      <c r="I84" s="175"/>
      <c r="J84" s="175"/>
      <c r="K84" s="173"/>
    </row>
    <row r="85" spans="2:11" x14ac:dyDescent="0.25">
      <c r="B85" s="171" t="s">
        <v>446</v>
      </c>
      <c r="C85" s="173"/>
      <c r="D85" s="173"/>
      <c r="E85" s="173"/>
      <c r="F85" s="174"/>
      <c r="G85" s="175"/>
      <c r="H85" s="175"/>
      <c r="I85" s="175"/>
      <c r="J85" s="175"/>
      <c r="K85" s="173"/>
    </row>
    <row r="86" spans="2:11" x14ac:dyDescent="0.25">
      <c r="B86" s="171" t="s">
        <v>447</v>
      </c>
      <c r="C86" s="173"/>
      <c r="D86" s="173"/>
      <c r="E86" s="173"/>
      <c r="F86" s="174"/>
      <c r="G86" s="175"/>
      <c r="H86" s="175"/>
      <c r="I86" s="175"/>
      <c r="J86" s="175"/>
      <c r="K86" s="173"/>
    </row>
    <row r="87" spans="2:11" x14ac:dyDescent="0.25">
      <c r="B87" s="171" t="s">
        <v>448</v>
      </c>
      <c r="C87" s="173"/>
      <c r="D87" s="173"/>
      <c r="E87" s="173"/>
      <c r="F87" s="174"/>
      <c r="G87" s="175"/>
      <c r="H87" s="175"/>
      <c r="I87" s="175"/>
      <c r="J87" s="175"/>
      <c r="K87" s="173"/>
    </row>
    <row r="88" spans="2:11" x14ac:dyDescent="0.25">
      <c r="B88" s="171" t="s">
        <v>449</v>
      </c>
      <c r="C88" s="173"/>
      <c r="D88" s="173"/>
      <c r="E88" s="173"/>
      <c r="F88" s="174"/>
      <c r="G88" s="175"/>
      <c r="H88" s="175"/>
      <c r="I88" s="175"/>
      <c r="J88" s="175"/>
      <c r="K88" s="173"/>
    </row>
    <row r="89" spans="2:11" x14ac:dyDescent="0.25">
      <c r="B89" s="171" t="s">
        <v>450</v>
      </c>
      <c r="C89" s="173"/>
      <c r="D89" s="173"/>
      <c r="E89" s="173"/>
      <c r="F89" s="174"/>
      <c r="G89" s="175"/>
      <c r="H89" s="175"/>
      <c r="I89" s="175"/>
      <c r="J89" s="175"/>
      <c r="K89" s="173"/>
    </row>
    <row r="90" spans="2:11" x14ac:dyDescent="0.25">
      <c r="B90" s="171" t="s">
        <v>451</v>
      </c>
      <c r="C90" s="173"/>
      <c r="D90" s="173"/>
      <c r="E90" s="173"/>
      <c r="F90" s="174"/>
      <c r="G90" s="175"/>
      <c r="H90" s="175"/>
      <c r="I90" s="175"/>
      <c r="J90" s="175"/>
      <c r="K90" s="173"/>
    </row>
    <row r="91" spans="2:11" x14ac:dyDescent="0.25">
      <c r="B91" s="171" t="s">
        <v>452</v>
      </c>
      <c r="C91" s="173"/>
      <c r="D91" s="173"/>
      <c r="E91" s="173"/>
      <c r="F91" s="174"/>
      <c r="G91" s="175"/>
      <c r="H91" s="175"/>
      <c r="I91" s="175"/>
      <c r="J91" s="175"/>
      <c r="K91" s="173"/>
    </row>
    <row r="92" spans="2:11" x14ac:dyDescent="0.25">
      <c r="B92" s="171" t="s">
        <v>453</v>
      </c>
      <c r="C92" s="173"/>
      <c r="D92" s="173"/>
      <c r="E92" s="173"/>
      <c r="F92" s="174"/>
      <c r="G92" s="175"/>
      <c r="H92" s="175"/>
      <c r="I92" s="175"/>
      <c r="J92" s="175"/>
      <c r="K92" s="173"/>
    </row>
    <row r="93" spans="2:11" x14ac:dyDescent="0.25">
      <c r="B93" s="171" t="s">
        <v>454</v>
      </c>
      <c r="C93" s="173"/>
      <c r="D93" s="173"/>
      <c r="E93" s="173"/>
      <c r="F93" s="174"/>
      <c r="G93" s="175"/>
      <c r="H93" s="175"/>
      <c r="I93" s="175"/>
      <c r="J93" s="175"/>
      <c r="K93" s="173"/>
    </row>
    <row r="94" spans="2:11" x14ac:dyDescent="0.25">
      <c r="B94" s="171" t="s">
        <v>455</v>
      </c>
      <c r="C94" s="173"/>
      <c r="D94" s="173"/>
      <c r="E94" s="173"/>
      <c r="F94" s="174"/>
      <c r="G94" s="175"/>
      <c r="H94" s="175"/>
      <c r="I94" s="175"/>
      <c r="J94" s="175"/>
      <c r="K94" s="173"/>
    </row>
    <row r="95" spans="2:11" x14ac:dyDescent="0.25">
      <c r="B95" s="171" t="s">
        <v>456</v>
      </c>
      <c r="C95" s="173"/>
      <c r="D95" s="173"/>
      <c r="E95" s="173"/>
      <c r="F95" s="174"/>
      <c r="G95" s="175"/>
      <c r="H95" s="175"/>
      <c r="I95" s="175"/>
      <c r="J95" s="175"/>
      <c r="K95" s="173"/>
    </row>
    <row r="96" spans="2:11" x14ac:dyDescent="0.25">
      <c r="B96" s="171" t="s">
        <v>457</v>
      </c>
      <c r="C96" s="173"/>
      <c r="D96" s="173"/>
      <c r="E96" s="173"/>
      <c r="F96" s="174"/>
      <c r="G96" s="175"/>
      <c r="H96" s="175"/>
      <c r="I96" s="175"/>
      <c r="J96" s="175"/>
      <c r="K96" s="173"/>
    </row>
    <row r="97" spans="2:11" x14ac:dyDescent="0.25">
      <c r="B97" s="171" t="s">
        <v>458</v>
      </c>
      <c r="C97" s="173"/>
      <c r="D97" s="173"/>
      <c r="E97" s="173"/>
      <c r="F97" s="174"/>
      <c r="G97" s="175"/>
      <c r="H97" s="175"/>
      <c r="I97" s="175"/>
      <c r="J97" s="175"/>
      <c r="K97" s="173"/>
    </row>
    <row r="98" spans="2:11" x14ac:dyDescent="0.25">
      <c r="B98" s="171" t="s">
        <v>459</v>
      </c>
      <c r="C98" s="173"/>
      <c r="D98" s="173"/>
      <c r="E98" s="173"/>
      <c r="F98" s="174"/>
      <c r="G98" s="175"/>
      <c r="H98" s="175"/>
      <c r="I98" s="175"/>
      <c r="J98" s="175"/>
      <c r="K98" s="173"/>
    </row>
    <row r="99" spans="2:11" x14ac:dyDescent="0.25">
      <c r="B99" s="171" t="s">
        <v>460</v>
      </c>
      <c r="C99" s="173"/>
      <c r="D99" s="173"/>
      <c r="E99" s="173"/>
      <c r="F99" s="174"/>
      <c r="G99" s="175"/>
      <c r="H99" s="175"/>
      <c r="I99" s="175"/>
      <c r="J99" s="175"/>
      <c r="K99" s="173"/>
    </row>
    <row r="100" spans="2:11" x14ac:dyDescent="0.25">
      <c r="B100" s="171" t="s">
        <v>461</v>
      </c>
      <c r="C100" s="173"/>
      <c r="D100" s="173"/>
      <c r="E100" s="173"/>
      <c r="F100" s="174"/>
      <c r="G100" s="175"/>
      <c r="H100" s="175"/>
      <c r="I100" s="175"/>
      <c r="J100" s="175"/>
      <c r="K100" s="173"/>
    </row>
    <row r="101" spans="2:11" x14ac:dyDescent="0.25">
      <c r="B101" s="171" t="s">
        <v>462</v>
      </c>
      <c r="C101" s="173"/>
      <c r="D101" s="173"/>
      <c r="E101" s="173"/>
      <c r="F101" s="174"/>
      <c r="G101" s="175"/>
      <c r="H101" s="175"/>
      <c r="I101" s="175"/>
      <c r="J101" s="175"/>
      <c r="K101" s="173"/>
    </row>
    <row r="102" spans="2:11" x14ac:dyDescent="0.25">
      <c r="B102" s="171" t="s">
        <v>463</v>
      </c>
      <c r="C102" s="173"/>
      <c r="D102" s="173"/>
      <c r="E102" s="173"/>
      <c r="F102" s="174"/>
      <c r="G102" s="175"/>
      <c r="H102" s="175"/>
      <c r="I102" s="175"/>
      <c r="J102" s="175"/>
      <c r="K102" s="173"/>
    </row>
    <row r="103" spans="2:11" x14ac:dyDescent="0.25">
      <c r="B103" s="171" t="s">
        <v>464</v>
      </c>
      <c r="C103" s="173"/>
      <c r="D103" s="173"/>
      <c r="E103" s="173"/>
      <c r="F103" s="174"/>
      <c r="G103" s="175"/>
      <c r="H103" s="175"/>
      <c r="I103" s="175"/>
      <c r="J103" s="175"/>
      <c r="K103" s="173"/>
    </row>
    <row r="104" spans="2:11" x14ac:dyDescent="0.25">
      <c r="B104" s="171" t="s">
        <v>465</v>
      </c>
      <c r="C104" s="173"/>
      <c r="D104" s="173"/>
      <c r="E104" s="173"/>
      <c r="F104" s="174"/>
      <c r="G104" s="175"/>
      <c r="H104" s="175"/>
      <c r="I104" s="175"/>
      <c r="J104" s="175"/>
      <c r="K104" s="173"/>
    </row>
    <row r="105" spans="2:11" x14ac:dyDescent="0.25">
      <c r="B105" s="171" t="s">
        <v>466</v>
      </c>
      <c r="C105" s="173"/>
      <c r="D105" s="173"/>
      <c r="E105" s="173"/>
      <c r="F105" s="174"/>
      <c r="G105" s="175"/>
      <c r="H105" s="175"/>
      <c r="I105" s="175"/>
      <c r="J105" s="175"/>
      <c r="K105" s="173"/>
    </row>
    <row r="106" spans="2:11" x14ac:dyDescent="0.25">
      <c r="B106" s="171" t="s">
        <v>467</v>
      </c>
      <c r="C106" s="173"/>
      <c r="D106" s="173"/>
      <c r="E106" s="173"/>
      <c r="F106" s="174"/>
      <c r="G106" s="175"/>
      <c r="H106" s="175"/>
      <c r="I106" s="175"/>
      <c r="J106" s="175"/>
      <c r="K106" s="173"/>
    </row>
    <row r="107" spans="2:11" x14ac:dyDescent="0.25">
      <c r="B107" s="171" t="s">
        <v>468</v>
      </c>
      <c r="C107" s="173"/>
      <c r="D107" s="173"/>
      <c r="E107" s="173"/>
      <c r="F107" s="174"/>
      <c r="G107" s="175"/>
      <c r="H107" s="175"/>
      <c r="I107" s="175"/>
      <c r="J107" s="175"/>
      <c r="K107" s="173"/>
    </row>
    <row r="108" spans="2:11" x14ac:dyDescent="0.25">
      <c r="B108" s="171" t="s">
        <v>469</v>
      </c>
      <c r="C108" s="173"/>
      <c r="D108" s="173"/>
      <c r="E108" s="173"/>
      <c r="F108" s="174"/>
      <c r="G108" s="175"/>
      <c r="H108" s="175"/>
      <c r="I108" s="175"/>
      <c r="J108" s="175"/>
      <c r="K108" s="173"/>
    </row>
    <row r="109" spans="2:11" x14ac:dyDescent="0.25">
      <c r="B109" s="171" t="s">
        <v>470</v>
      </c>
      <c r="C109" s="173"/>
      <c r="D109" s="173"/>
      <c r="E109" s="173"/>
      <c r="F109" s="174"/>
      <c r="G109" s="175"/>
      <c r="H109" s="175"/>
      <c r="I109" s="175"/>
      <c r="J109" s="175"/>
      <c r="K109" s="173"/>
    </row>
    <row r="110" spans="2:11" x14ac:dyDescent="0.25">
      <c r="B110" s="171" t="s">
        <v>471</v>
      </c>
      <c r="C110" s="173"/>
      <c r="D110" s="173"/>
      <c r="E110" s="173"/>
      <c r="F110" s="174"/>
      <c r="G110" s="175"/>
      <c r="H110" s="175"/>
      <c r="I110" s="175"/>
      <c r="J110" s="175"/>
      <c r="K110" s="173"/>
    </row>
    <row r="111" spans="2:11" x14ac:dyDescent="0.25">
      <c r="B111" s="171" t="s">
        <v>472</v>
      </c>
      <c r="C111" s="173"/>
      <c r="D111" s="173"/>
      <c r="E111" s="173"/>
      <c r="F111" s="174"/>
      <c r="G111" s="175"/>
      <c r="H111" s="175"/>
      <c r="I111" s="175"/>
      <c r="J111" s="175"/>
      <c r="K111" s="173"/>
    </row>
    <row r="112" spans="2:11" x14ac:dyDescent="0.25">
      <c r="B112" s="171" t="s">
        <v>473</v>
      </c>
      <c r="C112" s="173"/>
      <c r="D112" s="173"/>
      <c r="E112" s="173"/>
      <c r="F112" s="174"/>
      <c r="G112" s="175"/>
      <c r="H112" s="175"/>
      <c r="I112" s="175"/>
      <c r="J112" s="175"/>
      <c r="K112" s="173"/>
    </row>
  </sheetData>
  <sheetProtection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t="str">
        <f>Protocole!C2</f>
        <v>Moissenet</v>
      </c>
      <c r="D2" s="247"/>
      <c r="E2" s="247"/>
      <c r="F2" s="247"/>
      <c r="G2" s="247"/>
      <c r="H2" s="248"/>
    </row>
    <row r="3" spans="2:8" x14ac:dyDescent="0.25">
      <c r="B3" s="98" t="s">
        <v>6</v>
      </c>
      <c r="C3" s="253" t="str">
        <f>Protocole!C3</f>
        <v>Florent</v>
      </c>
      <c r="D3" s="253"/>
      <c r="E3" s="253"/>
      <c r="F3" s="253"/>
      <c r="G3" s="253"/>
      <c r="H3" s="254"/>
    </row>
    <row r="4" spans="2:8" x14ac:dyDescent="0.25">
      <c r="B4" s="98" t="s">
        <v>7</v>
      </c>
      <c r="C4" s="253" t="str">
        <f>Protocole!C4</f>
        <v>Homme</v>
      </c>
      <c r="D4" s="253"/>
      <c r="E4" s="253"/>
      <c r="F4" s="253"/>
      <c r="G4" s="253"/>
      <c r="H4" s="254"/>
    </row>
    <row r="5" spans="2:8" x14ac:dyDescent="0.25">
      <c r="B5" s="98" t="s">
        <v>14</v>
      </c>
      <c r="C5" s="255">
        <f>INT(_xlfn.DAYS(Protocole!C27,Protocole!C5)/365.25)</f>
        <v>35</v>
      </c>
      <c r="D5" s="255"/>
      <c r="E5" s="255"/>
      <c r="F5" s="255"/>
      <c r="G5" s="255"/>
      <c r="H5" s="256"/>
    </row>
    <row r="6" spans="2:8" ht="14.4" thickBot="1" x14ac:dyDescent="0.3">
      <c r="B6" s="99" t="s">
        <v>17</v>
      </c>
      <c r="C6" s="257" t="str">
        <f>Protocole!C10</f>
        <v>Aucune</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t="str">
        <f>Protocole!C25</f>
        <v>F. Chantraine</v>
      </c>
      <c r="D9" s="245"/>
      <c r="E9" s="245"/>
      <c r="F9" s="245"/>
      <c r="G9" s="245"/>
      <c r="H9" s="246"/>
    </row>
    <row r="10" spans="2:8" x14ac:dyDescent="0.25">
      <c r="B10" s="102" t="s">
        <v>10</v>
      </c>
      <c r="C10" s="247" t="str">
        <f>Protocole!C26</f>
        <v>A. Remacle</v>
      </c>
      <c r="D10" s="247"/>
      <c r="E10" s="247"/>
      <c r="F10" s="247"/>
      <c r="G10" s="247"/>
      <c r="H10" s="248"/>
    </row>
    <row r="11" spans="2:8" x14ac:dyDescent="0.25">
      <c r="B11" s="102" t="s">
        <v>0</v>
      </c>
      <c r="C11" s="249">
        <f>Protocole!C27</f>
        <v>43236</v>
      </c>
      <c r="D11" s="249"/>
      <c r="E11" s="249"/>
      <c r="F11" s="249"/>
      <c r="G11" s="249"/>
      <c r="H11" s="250"/>
    </row>
    <row r="12" spans="2:8" x14ac:dyDescent="0.25">
      <c r="B12" s="102" t="s">
        <v>11</v>
      </c>
      <c r="C12" s="247" t="str">
        <f>Protocole!C28</f>
        <v>Expertise</v>
      </c>
      <c r="D12" s="247"/>
      <c r="E12" s="247"/>
      <c r="F12" s="247"/>
      <c r="G12" s="247"/>
      <c r="H12" s="248"/>
    </row>
    <row r="13" spans="2:8" ht="76.8" customHeight="1" thickBot="1" x14ac:dyDescent="0.3">
      <c r="B13" s="103" t="s">
        <v>25</v>
      </c>
      <c r="C13" s="251" t="str">
        <f>Protocole!C29</f>
        <v>Test fiche</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408</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B27" sqref="B27:H27"/>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test traitement 1</v>
      </c>
      <c r="D4" s="264"/>
      <c r="E4" s="264"/>
      <c r="F4" s="265"/>
      <c r="G4" s="106" t="s">
        <v>28</v>
      </c>
      <c r="H4" s="177">
        <f>Protocole!I17</f>
        <v>30404</v>
      </c>
    </row>
    <row r="5" spans="2:8" x14ac:dyDescent="0.25">
      <c r="B5" s="270"/>
      <c r="C5" s="263" t="str">
        <f>Protocole!C18</f>
        <v>NA</v>
      </c>
      <c r="D5" s="264"/>
      <c r="E5" s="264"/>
      <c r="F5" s="265"/>
      <c r="G5" s="106" t="s">
        <v>28</v>
      </c>
      <c r="H5" s="177">
        <f>Protocole!I18</f>
        <v>0</v>
      </c>
    </row>
    <row r="6" spans="2:8" x14ac:dyDescent="0.25">
      <c r="B6" s="270"/>
      <c r="C6" s="263" t="str">
        <f>Protocole!C19</f>
        <v>NA</v>
      </c>
      <c r="D6" s="264"/>
      <c r="E6" s="264"/>
      <c r="F6" s="265"/>
      <c r="G6" s="106" t="s">
        <v>28</v>
      </c>
      <c r="H6" s="177">
        <f>Protocole!I19</f>
        <v>0</v>
      </c>
    </row>
    <row r="7" spans="2:8" x14ac:dyDescent="0.25">
      <c r="B7" s="270"/>
      <c r="C7" s="263" t="str">
        <f>Protocole!C20</f>
        <v>NA</v>
      </c>
      <c r="D7" s="264"/>
      <c r="E7" s="264"/>
      <c r="F7" s="265"/>
      <c r="G7" s="106" t="s">
        <v>28</v>
      </c>
      <c r="H7" s="177">
        <f>Protocole!I20</f>
        <v>0</v>
      </c>
    </row>
    <row r="8" spans="2:8" x14ac:dyDescent="0.25">
      <c r="B8" s="270"/>
      <c r="C8" s="263" t="str">
        <f>Protocole!C21</f>
        <v>NA</v>
      </c>
      <c r="D8" s="264"/>
      <c r="E8" s="264"/>
      <c r="F8" s="265"/>
      <c r="G8" s="106" t="s">
        <v>28</v>
      </c>
      <c r="H8" s="177">
        <f>Protocole!I21</f>
        <v>0</v>
      </c>
    </row>
    <row r="9" spans="2:8" x14ac:dyDescent="0.25">
      <c r="B9" s="271"/>
      <c r="C9" s="263" t="str">
        <f>Protocole!C22</f>
        <v>test traitement 5</v>
      </c>
      <c r="D9" s="264"/>
      <c r="E9" s="264"/>
      <c r="F9" s="265"/>
      <c r="G9" s="106" t="s">
        <v>28</v>
      </c>
      <c r="H9" s="177">
        <f>Protocole!I22</f>
        <v>43188</v>
      </c>
    </row>
    <row r="10" spans="2:8" ht="7.95" customHeight="1" x14ac:dyDescent="0.25"/>
    <row r="11" spans="2:8" x14ac:dyDescent="0.25">
      <c r="B11" s="9" t="s">
        <v>31</v>
      </c>
      <c r="C11" s="266">
        <f>Protocole!C7</f>
        <v>166</v>
      </c>
      <c r="D11" s="266"/>
      <c r="E11" s="276" t="s">
        <v>61</v>
      </c>
      <c r="F11" s="276"/>
      <c r="G11" s="275"/>
      <c r="H11" s="275"/>
    </row>
    <row r="12" spans="2:8" x14ac:dyDescent="0.25">
      <c r="B12" s="9" t="s">
        <v>32</v>
      </c>
      <c r="C12" s="266">
        <f>Protocole!C6</f>
        <v>66</v>
      </c>
      <c r="D12" s="266"/>
      <c r="E12" s="267" t="s">
        <v>62</v>
      </c>
      <c r="F12" s="268"/>
      <c r="G12" s="275"/>
      <c r="H12" s="275"/>
    </row>
    <row r="13" spans="2:8" x14ac:dyDescent="0.25">
      <c r="B13" s="9" t="s">
        <v>369</v>
      </c>
      <c r="C13" s="266">
        <f>C12/(C11/100*C11/100)</f>
        <v>23.951226593119468</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B19" sqref="B19"/>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406</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407</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406</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25" zoomScaleNormal="100" zoomScalePageLayoutView="70" workbookViewId="0">
      <selection activeCell="B42" sqref="B42:K50"/>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409</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410</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399</v>
      </c>
      <c r="C92" s="442"/>
      <c r="D92" s="442"/>
      <c r="E92" s="442"/>
      <c r="F92" s="443"/>
    </row>
    <row r="93" spans="2:11" x14ac:dyDescent="0.25">
      <c r="B93" s="444">
        <v>36</v>
      </c>
      <c r="C93" s="445"/>
      <c r="D93" s="435" t="s">
        <v>309</v>
      </c>
      <c r="E93" s="436"/>
      <c r="F93" s="113" t="s">
        <v>260</v>
      </c>
    </row>
    <row r="94" spans="2:11" x14ac:dyDescent="0.25">
      <c r="B94" s="446">
        <v>37</v>
      </c>
      <c r="C94" s="447"/>
      <c r="D94" s="94" t="s">
        <v>400</v>
      </c>
      <c r="E94" s="93"/>
      <c r="F94" s="114" t="s">
        <v>260</v>
      </c>
    </row>
    <row r="95" spans="2:11" x14ac:dyDescent="0.25">
      <c r="B95" s="446">
        <v>38</v>
      </c>
      <c r="C95" s="447"/>
      <c r="D95" s="437" t="s">
        <v>401</v>
      </c>
      <c r="E95" s="438"/>
      <c r="F95" s="114"/>
    </row>
    <row r="96" spans="2:11" ht="14.4" thickBot="1" x14ac:dyDescent="0.3">
      <c r="B96" s="433">
        <v>39</v>
      </c>
      <c r="C96" s="434"/>
      <c r="D96" s="439" t="s">
        <v>402</v>
      </c>
      <c r="E96" s="440"/>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K29" sqref="K29"/>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411</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3">
      <c r="C5" t="s">
        <v>56</v>
      </c>
      <c r="H5" t="s">
        <v>479</v>
      </c>
      <c r="J5" t="s">
        <v>500</v>
      </c>
      <c r="N5" t="s">
        <v>277</v>
      </c>
      <c r="O5" t="s">
        <v>269</v>
      </c>
      <c r="P5" t="s">
        <v>270</v>
      </c>
      <c r="S5" t="s">
        <v>271</v>
      </c>
      <c r="T5" t="s">
        <v>271</v>
      </c>
      <c r="U5" t="s">
        <v>272</v>
      </c>
    </row>
    <row r="6" spans="1:23" x14ac:dyDescent="0.3">
      <c r="C6" t="s">
        <v>57</v>
      </c>
      <c r="H6" t="s">
        <v>480</v>
      </c>
      <c r="J6" t="s">
        <v>501</v>
      </c>
      <c r="N6" t="s">
        <v>285</v>
      </c>
      <c r="O6" t="s">
        <v>274</v>
      </c>
      <c r="P6" t="s">
        <v>275</v>
      </c>
      <c r="U6" t="s">
        <v>276</v>
      </c>
    </row>
    <row r="7" spans="1:23" x14ac:dyDescent="0.3">
      <c r="C7" t="s">
        <v>58</v>
      </c>
      <c r="H7" t="s">
        <v>481</v>
      </c>
      <c r="J7" t="s">
        <v>502</v>
      </c>
      <c r="O7" t="s">
        <v>278</v>
      </c>
      <c r="P7" s="92" t="s">
        <v>279</v>
      </c>
      <c r="U7" t="s">
        <v>280</v>
      </c>
    </row>
    <row r="8" spans="1:23" x14ac:dyDescent="0.3">
      <c r="C8" t="s">
        <v>59</v>
      </c>
      <c r="H8" t="s">
        <v>482</v>
      </c>
      <c r="J8" t="s">
        <v>503</v>
      </c>
      <c r="O8" t="s">
        <v>282</v>
      </c>
      <c r="P8" t="s">
        <v>283</v>
      </c>
      <c r="U8" t="s">
        <v>284</v>
      </c>
    </row>
    <row r="9" spans="1:23" x14ac:dyDescent="0.3">
      <c r="H9" t="s">
        <v>483</v>
      </c>
      <c r="J9" t="s">
        <v>504</v>
      </c>
      <c r="P9" s="92" t="s">
        <v>251</v>
      </c>
      <c r="U9" t="s">
        <v>286</v>
      </c>
    </row>
    <row r="10" spans="1:23" x14ac:dyDescent="0.3">
      <c r="H10" t="s">
        <v>484</v>
      </c>
      <c r="J10" t="s">
        <v>505</v>
      </c>
      <c r="P10" t="s">
        <v>287</v>
      </c>
      <c r="U10" t="s">
        <v>288</v>
      </c>
    </row>
    <row r="11" spans="1:23" x14ac:dyDescent="0.3">
      <c r="H11" t="s">
        <v>485</v>
      </c>
      <c r="J11" t="s">
        <v>506</v>
      </c>
      <c r="P11" t="s">
        <v>289</v>
      </c>
      <c r="U11" t="s">
        <v>290</v>
      </c>
    </row>
    <row r="12" spans="1:23" x14ac:dyDescent="0.3">
      <c r="H12" s="92" t="s">
        <v>251</v>
      </c>
      <c r="J12" s="92" t="s">
        <v>251</v>
      </c>
      <c r="P12" t="s">
        <v>291</v>
      </c>
      <c r="U12" t="s">
        <v>292</v>
      </c>
    </row>
    <row r="13" spans="1:23" x14ac:dyDescent="0.3">
      <c r="H13" t="s">
        <v>486</v>
      </c>
      <c r="J13" t="s">
        <v>507</v>
      </c>
      <c r="P13" t="s">
        <v>293</v>
      </c>
      <c r="U13" t="s">
        <v>294</v>
      </c>
    </row>
    <row r="14" spans="1:23" x14ac:dyDescent="0.3">
      <c r="H14" t="s">
        <v>487</v>
      </c>
      <c r="J14" t="s">
        <v>508</v>
      </c>
      <c r="P14" t="s">
        <v>295</v>
      </c>
      <c r="U14" t="s">
        <v>296</v>
      </c>
    </row>
    <row r="15" spans="1:23" x14ac:dyDescent="0.3">
      <c r="H15" t="s">
        <v>488</v>
      </c>
      <c r="J15" t="s">
        <v>509</v>
      </c>
      <c r="P15" t="s">
        <v>297</v>
      </c>
      <c r="U15" t="s">
        <v>298</v>
      </c>
    </row>
    <row r="16" spans="1:23" x14ac:dyDescent="0.3">
      <c r="H16" s="92" t="s">
        <v>251</v>
      </c>
      <c r="J16" s="92" t="s">
        <v>251</v>
      </c>
      <c r="P16" t="s">
        <v>299</v>
      </c>
      <c r="U16" t="s">
        <v>300</v>
      </c>
    </row>
    <row r="17" spans="8:21" x14ac:dyDescent="0.3">
      <c r="H17" t="s">
        <v>489</v>
      </c>
      <c r="J17" t="s">
        <v>510</v>
      </c>
      <c r="P17" t="s">
        <v>301</v>
      </c>
      <c r="U17" t="s">
        <v>302</v>
      </c>
    </row>
    <row r="18" spans="8:21" x14ac:dyDescent="0.3">
      <c r="H18" t="s">
        <v>490</v>
      </c>
      <c r="J18" t="s">
        <v>511</v>
      </c>
      <c r="P18" s="92" t="s">
        <v>251</v>
      </c>
      <c r="U18" t="s">
        <v>303</v>
      </c>
    </row>
    <row r="19" spans="8:21" x14ac:dyDescent="0.3">
      <c r="H19" t="s">
        <v>491</v>
      </c>
      <c r="J19" t="s">
        <v>512</v>
      </c>
      <c r="P19" t="s">
        <v>304</v>
      </c>
      <c r="U19" t="s">
        <v>305</v>
      </c>
    </row>
    <row r="20" spans="8:21" x14ac:dyDescent="0.3">
      <c r="H20" t="s">
        <v>492</v>
      </c>
      <c r="J20" t="s">
        <v>513</v>
      </c>
      <c r="P20" t="s">
        <v>306</v>
      </c>
      <c r="U20" t="s">
        <v>307</v>
      </c>
    </row>
    <row r="21" spans="8:21" x14ac:dyDescent="0.3">
      <c r="H21" s="92" t="s">
        <v>251</v>
      </c>
      <c r="J21" s="92" t="s">
        <v>251</v>
      </c>
      <c r="P21" s="92" t="s">
        <v>251</v>
      </c>
      <c r="U21" t="s">
        <v>308</v>
      </c>
    </row>
    <row r="22" spans="8:21" x14ac:dyDescent="0.3">
      <c r="H22" t="s">
        <v>493</v>
      </c>
      <c r="J22" t="s">
        <v>514</v>
      </c>
      <c r="P22" t="s">
        <v>309</v>
      </c>
      <c r="U22" t="s">
        <v>310</v>
      </c>
    </row>
    <row r="23" spans="8:21" x14ac:dyDescent="0.3">
      <c r="H23" t="s">
        <v>494</v>
      </c>
      <c r="J23" t="s">
        <v>515</v>
      </c>
      <c r="P23" t="s">
        <v>311</v>
      </c>
      <c r="U23" t="s">
        <v>312</v>
      </c>
    </row>
    <row r="24" spans="8:21" x14ac:dyDescent="0.3">
      <c r="H24" t="s">
        <v>495</v>
      </c>
      <c r="J24" t="s">
        <v>516</v>
      </c>
      <c r="P24" t="s">
        <v>313</v>
      </c>
      <c r="U24" t="s">
        <v>314</v>
      </c>
    </row>
    <row r="25" spans="8:21" x14ac:dyDescent="0.3">
      <c r="H25" t="s">
        <v>496</v>
      </c>
      <c r="J25" t="s">
        <v>517</v>
      </c>
      <c r="P25" t="s">
        <v>315</v>
      </c>
      <c r="U25" t="s">
        <v>316</v>
      </c>
    </row>
    <row r="26" spans="8:21" x14ac:dyDescent="0.3">
      <c r="H26" t="s">
        <v>497</v>
      </c>
      <c r="J26" t="s">
        <v>518</v>
      </c>
      <c r="P26" s="92" t="s">
        <v>251</v>
      </c>
      <c r="U26" t="s">
        <v>317</v>
      </c>
    </row>
    <row r="27" spans="8:21" x14ac:dyDescent="0.3">
      <c r="H27" t="s">
        <v>498</v>
      </c>
      <c r="J27" t="s">
        <v>519</v>
      </c>
      <c r="P27" t="s">
        <v>318</v>
      </c>
      <c r="U27" t="s">
        <v>319</v>
      </c>
    </row>
    <row r="28" spans="8:21" x14ac:dyDescent="0.3">
      <c r="H28" s="92" t="s">
        <v>251</v>
      </c>
      <c r="J28" s="92" t="s">
        <v>251</v>
      </c>
      <c r="P28" t="s">
        <v>320</v>
      </c>
      <c r="U28" t="s">
        <v>321</v>
      </c>
    </row>
    <row r="29" spans="8:21" x14ac:dyDescent="0.3">
      <c r="H29" t="s">
        <v>499</v>
      </c>
      <c r="J29" t="s">
        <v>478</v>
      </c>
      <c r="P29" s="92" t="s">
        <v>251</v>
      </c>
      <c r="U29" t="s">
        <v>322</v>
      </c>
    </row>
    <row r="30" spans="8:21" x14ac:dyDescent="0.3">
      <c r="H30" t="s">
        <v>500</v>
      </c>
      <c r="J30" t="s">
        <v>479</v>
      </c>
      <c r="P30" t="s">
        <v>265</v>
      </c>
      <c r="U30" t="s">
        <v>323</v>
      </c>
    </row>
    <row r="31" spans="8:21" x14ac:dyDescent="0.3">
      <c r="H31" t="s">
        <v>501</v>
      </c>
      <c r="J31" t="s">
        <v>480</v>
      </c>
      <c r="P31" t="s">
        <v>264</v>
      </c>
      <c r="U31" t="s">
        <v>324</v>
      </c>
    </row>
    <row r="32" spans="8:21" x14ac:dyDescent="0.3">
      <c r="H32" t="s">
        <v>502</v>
      </c>
      <c r="J32" t="s">
        <v>481</v>
      </c>
      <c r="U32" t="s">
        <v>325</v>
      </c>
    </row>
    <row r="33" spans="8:21" x14ac:dyDescent="0.3">
      <c r="H33" t="s">
        <v>503</v>
      </c>
      <c r="J33" t="s">
        <v>482</v>
      </c>
      <c r="U33" t="s">
        <v>326</v>
      </c>
    </row>
    <row r="34" spans="8:21" x14ac:dyDescent="0.3">
      <c r="H34" t="s">
        <v>504</v>
      </c>
      <c r="J34" t="s">
        <v>483</v>
      </c>
      <c r="U34" t="s">
        <v>327</v>
      </c>
    </row>
    <row r="35" spans="8:21" x14ac:dyDescent="0.3">
      <c r="H35" t="s">
        <v>505</v>
      </c>
      <c r="J35" t="s">
        <v>484</v>
      </c>
      <c r="U35" t="s">
        <v>328</v>
      </c>
    </row>
    <row r="36" spans="8:21" x14ac:dyDescent="0.3">
      <c r="H36" t="s">
        <v>506</v>
      </c>
      <c r="J36" t="s">
        <v>485</v>
      </c>
      <c r="U36" t="s">
        <v>329</v>
      </c>
    </row>
    <row r="37" spans="8:21" x14ac:dyDescent="0.3">
      <c r="H37" s="92" t="s">
        <v>251</v>
      </c>
      <c r="J37" s="92" t="s">
        <v>251</v>
      </c>
      <c r="U37" s="92" t="s">
        <v>251</v>
      </c>
    </row>
    <row r="38" spans="8:21" x14ac:dyDescent="0.3">
      <c r="H38" t="s">
        <v>507</v>
      </c>
      <c r="J38" t="s">
        <v>486</v>
      </c>
      <c r="U38" t="s">
        <v>330</v>
      </c>
    </row>
    <row r="39" spans="8:21" x14ac:dyDescent="0.3">
      <c r="H39" t="s">
        <v>508</v>
      </c>
      <c r="J39" t="s">
        <v>487</v>
      </c>
      <c r="U39" t="s">
        <v>331</v>
      </c>
    </row>
    <row r="40" spans="8:21" x14ac:dyDescent="0.3">
      <c r="H40" t="s">
        <v>509</v>
      </c>
      <c r="J40" t="s">
        <v>488</v>
      </c>
      <c r="U40" t="s">
        <v>332</v>
      </c>
    </row>
    <row r="41" spans="8:21" x14ac:dyDescent="0.3">
      <c r="H41" s="92" t="s">
        <v>251</v>
      </c>
      <c r="J41" s="92" t="s">
        <v>251</v>
      </c>
      <c r="U41" t="s">
        <v>333</v>
      </c>
    </row>
    <row r="42" spans="8:21" x14ac:dyDescent="0.3">
      <c r="H42" t="s">
        <v>510</v>
      </c>
      <c r="J42" t="s">
        <v>489</v>
      </c>
      <c r="U42" t="s">
        <v>334</v>
      </c>
    </row>
    <row r="43" spans="8:21" x14ac:dyDescent="0.3">
      <c r="H43" t="s">
        <v>511</v>
      </c>
      <c r="J43" t="s">
        <v>490</v>
      </c>
      <c r="U43" t="s">
        <v>335</v>
      </c>
    </row>
    <row r="44" spans="8:21" x14ac:dyDescent="0.3">
      <c r="H44" t="s">
        <v>512</v>
      </c>
      <c r="J44" t="s">
        <v>491</v>
      </c>
      <c r="U44" t="s">
        <v>336</v>
      </c>
    </row>
    <row r="45" spans="8:21" x14ac:dyDescent="0.3">
      <c r="H45" t="s">
        <v>513</v>
      </c>
      <c r="J45" t="s">
        <v>492</v>
      </c>
      <c r="U45" t="s">
        <v>337</v>
      </c>
    </row>
    <row r="46" spans="8:21" x14ac:dyDescent="0.3">
      <c r="H46" s="92" t="s">
        <v>251</v>
      </c>
      <c r="J46" s="92" t="s">
        <v>251</v>
      </c>
      <c r="U46" t="s">
        <v>338</v>
      </c>
    </row>
    <row r="47" spans="8:21" x14ac:dyDescent="0.3">
      <c r="H47" t="s">
        <v>514</v>
      </c>
      <c r="J47" t="s">
        <v>493</v>
      </c>
      <c r="U47" t="s">
        <v>339</v>
      </c>
    </row>
    <row r="48" spans="8:21" x14ac:dyDescent="0.3">
      <c r="H48" t="s">
        <v>515</v>
      </c>
      <c r="J48" t="s">
        <v>494</v>
      </c>
      <c r="U48" t="s">
        <v>340</v>
      </c>
    </row>
    <row r="49" spans="8:21" x14ac:dyDescent="0.3">
      <c r="H49" t="s">
        <v>516</v>
      </c>
      <c r="J49" t="s">
        <v>495</v>
      </c>
      <c r="U49" t="s">
        <v>341</v>
      </c>
    </row>
    <row r="50" spans="8:21" x14ac:dyDescent="0.3">
      <c r="H50" t="s">
        <v>517</v>
      </c>
      <c r="J50" t="s">
        <v>496</v>
      </c>
      <c r="U50" t="s">
        <v>342</v>
      </c>
    </row>
    <row r="51" spans="8:21" x14ac:dyDescent="0.3">
      <c r="H51" t="s">
        <v>518</v>
      </c>
      <c r="J51" t="s">
        <v>497</v>
      </c>
      <c r="U51" t="s">
        <v>343</v>
      </c>
    </row>
    <row r="52" spans="8:21" x14ac:dyDescent="0.3">
      <c r="H52" t="s">
        <v>519</v>
      </c>
      <c r="J52" t="s">
        <v>498</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2018-06-13T09:19:41Z</cp:lastPrinted>
  <dcterms:created xsi:type="dcterms:W3CDTF">2017-11-28T07:32:02Z</dcterms:created>
  <dcterms:modified xsi:type="dcterms:W3CDTF">2018-06-13T09:25:24Z</dcterms:modified>
</cp:coreProperties>
</file>