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4.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5.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florent.moissenet\Documents\Professionnel\routines\github\CGA_Rehazenter_Toolbox\example\"/>
    </mc:Choice>
  </mc:AlternateContent>
  <bookViews>
    <workbookView xWindow="392208" yWindow="0" windowWidth="22104" windowHeight="9396" tabRatio="906" activeTab="7"/>
  </bookViews>
  <sheets>
    <sheet name="Protocole" sheetId="19" r:id="rId1"/>
    <sheet name="Compte-rendu" sheetId="1" r:id="rId2"/>
    <sheet name="Observations et Qualité" sheetId="4" r:id="rId3"/>
    <sheet name="Evidence (0)" sheetId="6" r:id="rId4"/>
    <sheet name="Evidence (1)" sheetId="24" r:id="rId5"/>
    <sheet name="Evidence (2)" sheetId="25" r:id="rId6"/>
    <sheet name="Légendes" sheetId="12" r:id="rId7"/>
    <sheet name="Examen (0)" sheetId="14" r:id="rId8"/>
    <sheet name="Examen (1)" sheetId="7" r:id="rId9"/>
    <sheet name="Examen (2)" sheetId="26" r:id="rId10"/>
    <sheet name="Examen (3)" sheetId="27" r:id="rId11"/>
    <sheet name="Examen - data (1)" sheetId="10" r:id="rId12"/>
    <sheet name="Examen - norm (1)" sheetId="13" r:id="rId13"/>
    <sheet name="listes" sheetId="2" r:id="rId14"/>
  </sheets>
  <definedNames>
    <definedName name="Cote">listes!$S$2:$S$5</definedName>
    <definedName name="Effet_sur_marche">listes!$B$2:$B$4</definedName>
    <definedName name="EMG_droit">listes!$H$2:$H$52</definedName>
    <definedName name="EMG_gauche">listes!$J$2:$J$52</definedName>
    <definedName name="Equipe">listes!$M$2:$M$9</definedName>
    <definedName name="Evidence">listes!$A$2:$A$4</definedName>
    <definedName name="Genre">listes!$E$2:$E$3</definedName>
    <definedName name="Groupe">listes!$C$2:$C$8</definedName>
    <definedName name="Liste_muscles">listes!$U$2:$U$72</definedName>
    <definedName name="Medecins">listes!$M$2:$M$4</definedName>
    <definedName name="Membre">listes!$T$2:$T$5</definedName>
    <definedName name="Modele">listes!$F$2:$F$7</definedName>
    <definedName name="Motif">listes!$O$2:$O$8</definedName>
    <definedName name="Operateurs">listes!$N$2:$N$6</definedName>
    <definedName name="Oui_non">listes!$W$2:$W$3</definedName>
    <definedName name="Pathologie">listes!$P$2:$P$31</definedName>
    <definedName name="Plateformes">listes!$K$2:$K$4</definedName>
    <definedName name="Print_Area" localSheetId="1">'Compte-rendu'!$A$1:$H$30</definedName>
    <definedName name="Print_Area" localSheetId="3">'Evidence (0)'!$A$1:$H$53</definedName>
    <definedName name="Print_Area" localSheetId="4">'Evidence (1)'!$A$1:$H$53</definedName>
    <definedName name="Print_Area" localSheetId="5">'Evidence (2)'!$A$1:$H$53</definedName>
    <definedName name="Print_Area" localSheetId="7">'Examen (0)'!$A$1:$K$97</definedName>
    <definedName name="Print_Area" localSheetId="8">'Examen (1)'!$A$1:$I$49</definedName>
    <definedName name="Print_Area" localSheetId="9">'Examen (2)'!$A$1:$I$49</definedName>
    <definedName name="Print_Area" localSheetId="10">'Examen (3)'!$A$1:$I$49</definedName>
    <definedName name="Print_Area" localSheetId="6">Légendes!$A$1:$H$41</definedName>
    <definedName name="Print_Area" localSheetId="2">'Observations et Qualité'!$A$1:$H$27</definedName>
    <definedName name="Sensibilte">listes!$D$2:$D$4</definedName>
    <definedName name="Systeme">listes!$L$2:$L$3</definedName>
    <definedName name="Terrain_de_marche">listes!$G$2:$G$3</definedName>
    <definedName name="Type_accident">listes!$R$2:$R$4</definedName>
    <definedName name="Type_pathologie">listes!$Q$2:$Q$4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24" i="1" l="1"/>
  <c r="G24" i="1"/>
  <c r="H23" i="1"/>
  <c r="G23" i="1"/>
  <c r="H21" i="1"/>
  <c r="G21" i="1"/>
  <c r="B24" i="1"/>
  <c r="B22" i="1"/>
  <c r="B23" i="1"/>
  <c r="B21" i="1"/>
  <c r="B20" i="1" l="1"/>
  <c r="B19" i="1"/>
  <c r="H20" i="1"/>
  <c r="G20" i="1"/>
  <c r="H19" i="1"/>
  <c r="G19" i="1"/>
  <c r="H5" i="4"/>
  <c r="H6" i="4"/>
  <c r="H7" i="4"/>
  <c r="H8" i="4"/>
  <c r="H9" i="4"/>
  <c r="H4" i="4"/>
  <c r="C5" i="4"/>
  <c r="C6" i="4"/>
  <c r="C7" i="4"/>
  <c r="C8" i="4"/>
  <c r="C9" i="4"/>
  <c r="C4" i="4"/>
  <c r="C6" i="1"/>
  <c r="C12" i="4"/>
  <c r="C11" i="4"/>
  <c r="C5" i="1"/>
  <c r="C10" i="1"/>
  <c r="C11" i="1"/>
  <c r="C12" i="1"/>
  <c r="C13" i="1"/>
  <c r="C9" i="1"/>
  <c r="C3" i="1"/>
  <c r="C4" i="1"/>
  <c r="C2" i="1"/>
  <c r="C13" i="4" l="1"/>
  <c r="J33" i="14"/>
  <c r="H33" i="14"/>
</calcChain>
</file>

<file path=xl/sharedStrings.xml><?xml version="1.0" encoding="utf-8"?>
<sst xmlns="http://schemas.openxmlformats.org/spreadsheetml/2006/main" count="1039" uniqueCount="526">
  <si>
    <t>Date</t>
  </si>
  <si>
    <t>Médecin</t>
  </si>
  <si>
    <t>Type</t>
  </si>
  <si>
    <t>Observations</t>
  </si>
  <si>
    <t>Patient</t>
  </si>
  <si>
    <t>Nom</t>
  </si>
  <si>
    <t>Prénom</t>
  </si>
  <si>
    <t>Genre</t>
  </si>
  <si>
    <t>Commentaires</t>
  </si>
  <si>
    <t>Examen</t>
  </si>
  <si>
    <t>Opérateur</t>
  </si>
  <si>
    <t>Motif</t>
  </si>
  <si>
    <t>Compte-rendu de l'examen</t>
  </si>
  <si>
    <t>Les déficits affectant le plus la marche du patient sont :</t>
  </si>
  <si>
    <t>Age</t>
  </si>
  <si>
    <t>Evidence</t>
  </si>
  <si>
    <t>Effet sur la marche</t>
  </si>
  <si>
    <t>Diagnostic</t>
  </si>
  <si>
    <t>Possible</t>
  </si>
  <si>
    <t>Probable</t>
  </si>
  <si>
    <t>Mineur</t>
  </si>
  <si>
    <t>Modéré</t>
  </si>
  <si>
    <t>Majeur</t>
  </si>
  <si>
    <t>Autres commentaires :</t>
  </si>
  <si>
    <t>Remarques sur la suite du rapport :</t>
  </si>
  <si>
    <t>Motivation détaillée</t>
  </si>
  <si>
    <t>Certain</t>
  </si>
  <si>
    <t>Précédentes interventions</t>
  </si>
  <si>
    <t>Date :</t>
  </si>
  <si>
    <r>
      <t xml:space="preserve">Longueur pas droit </t>
    </r>
    <r>
      <rPr>
        <sz val="9"/>
        <color theme="1"/>
        <rFont val="Arial"/>
        <family val="2"/>
      </rPr>
      <t>(cm)</t>
    </r>
  </si>
  <si>
    <r>
      <t xml:space="preserve">Longueur pas gauche </t>
    </r>
    <r>
      <rPr>
        <sz val="9"/>
        <color theme="1"/>
        <rFont val="Arial"/>
        <family val="2"/>
      </rPr>
      <t>(cm)</t>
    </r>
  </si>
  <si>
    <r>
      <t xml:space="preserve">Taille </t>
    </r>
    <r>
      <rPr>
        <sz val="9"/>
        <color theme="1"/>
        <rFont val="Arial"/>
        <family val="2"/>
      </rPr>
      <t>(cm)</t>
    </r>
  </si>
  <si>
    <r>
      <t xml:space="preserve">Poids </t>
    </r>
    <r>
      <rPr>
        <sz val="9"/>
        <color theme="1"/>
        <rFont val="Arial"/>
        <family val="2"/>
      </rPr>
      <t>(kg)</t>
    </r>
  </si>
  <si>
    <r>
      <rPr>
        <b/>
        <sz val="11"/>
        <color theme="1"/>
        <rFont val="Arial"/>
        <family val="2"/>
      </rPr>
      <t>Groupe</t>
    </r>
    <r>
      <rPr>
        <sz val="11"/>
        <color theme="1"/>
        <rFont val="Arial"/>
        <family val="2"/>
      </rPr>
      <t xml:space="preserve"> </t>
    </r>
    <r>
      <rPr>
        <sz val="9"/>
        <color theme="1"/>
        <rFont val="Arial"/>
        <family val="2"/>
      </rPr>
      <t>(AVC)</t>
    </r>
  </si>
  <si>
    <t>Analyse observationnelle de la marche</t>
  </si>
  <si>
    <t>Qualité</t>
  </si>
  <si>
    <t>Est-ce que les données produites sont représentatives de la marche naturelle du patient?</t>
  </si>
  <si>
    <t>Il y a-t-il des remarques à apporter quant aux données produites?</t>
  </si>
  <si>
    <t>Existe-t-il des éléments suggérant la présence d'offset ou d'artefacts de tissous mous importants?</t>
  </si>
  <si>
    <t>Déficit</t>
  </si>
  <si>
    <t>Déficit :</t>
  </si>
  <si>
    <t>Evidence :</t>
  </si>
  <si>
    <t>Impact :</t>
  </si>
  <si>
    <t>Impact</t>
  </si>
  <si>
    <t>Code</t>
  </si>
  <si>
    <t>Anomalie</t>
  </si>
  <si>
    <t>Eléments de preuve - Electromyographie</t>
  </si>
  <si>
    <t>Eléments de preuve - Cinématique / Cinétique</t>
  </si>
  <si>
    <t>Eléments de preuve - Examen clinique</t>
  </si>
  <si>
    <t>Gauche</t>
  </si>
  <si>
    <t>Droite</t>
  </si>
  <si>
    <t>Eléments de preuve - Autres</t>
  </si>
  <si>
    <t>Information</t>
  </si>
  <si>
    <t>Groupe</t>
  </si>
  <si>
    <t>Ia</t>
  </si>
  <si>
    <t>Ib</t>
  </si>
  <si>
    <t>IIa</t>
  </si>
  <si>
    <t>IIb</t>
  </si>
  <si>
    <t>IIIa</t>
  </si>
  <si>
    <t>IIIb</t>
  </si>
  <si>
    <t>NA</t>
  </si>
  <si>
    <r>
      <t xml:space="preserve">Vitesse de marche </t>
    </r>
    <r>
      <rPr>
        <sz val="9"/>
        <color theme="1"/>
        <rFont val="Arial"/>
        <family val="2"/>
      </rPr>
      <t>(m / s)</t>
    </r>
  </si>
  <si>
    <r>
      <t xml:space="preserve">Cadence </t>
    </r>
    <r>
      <rPr>
        <sz val="9"/>
        <color theme="1"/>
        <rFont val="Arial"/>
        <family val="2"/>
      </rPr>
      <t>(pas / min)</t>
    </r>
  </si>
  <si>
    <t>Temps</t>
  </si>
  <si>
    <t>Anteversion (+) / Retroversion (-)</t>
  </si>
  <si>
    <t>Bassin</t>
  </si>
  <si>
    <t>Evolution de la marche</t>
  </si>
  <si>
    <r>
      <t xml:space="preserve">Bassin 
</t>
    </r>
    <r>
      <rPr>
        <i/>
        <sz val="8"/>
        <color theme="1"/>
        <rFont val="Arial"/>
        <family val="2"/>
      </rPr>
      <t>(cinématique segmentaire)</t>
    </r>
  </si>
  <si>
    <r>
      <t xml:space="preserve">Hanche
</t>
    </r>
    <r>
      <rPr>
        <i/>
        <sz val="8"/>
        <color theme="1"/>
        <rFont val="Arial"/>
        <family val="2"/>
      </rPr>
      <t>(cinématique articulaire)</t>
    </r>
  </si>
  <si>
    <r>
      <t xml:space="preserve">Genou
</t>
    </r>
    <r>
      <rPr>
        <i/>
        <sz val="8"/>
        <color theme="1"/>
        <rFont val="Arial"/>
        <family val="2"/>
      </rPr>
      <t>(cinématique articulaire)</t>
    </r>
  </si>
  <si>
    <r>
      <t xml:space="preserve">Cheville
</t>
    </r>
    <r>
      <rPr>
        <i/>
        <sz val="8"/>
        <color theme="1"/>
        <rFont val="Arial"/>
        <family val="2"/>
      </rPr>
      <t>(cinématique articulaire)</t>
    </r>
  </si>
  <si>
    <r>
      <t xml:space="preserve">Pied
</t>
    </r>
    <r>
      <rPr>
        <i/>
        <sz val="8"/>
        <color theme="1"/>
        <rFont val="Arial"/>
        <family val="2"/>
      </rPr>
      <t>(cinématique segmentaire)</t>
    </r>
  </si>
  <si>
    <t>Tous les graphiques ci-dessus sont exprimés pour un cycle de marche (d'une pose du pied à la suite pour chaque côté). Les lignes verticales représentent la séparation entre la phase d'appui et la phase oscillante, pour chaque côté.</t>
  </si>
  <si>
    <t>Remarques :</t>
  </si>
  <si>
    <t>G</t>
  </si>
  <si>
    <t>D</t>
  </si>
  <si>
    <t>G+D</t>
  </si>
  <si>
    <t>Légendes</t>
  </si>
  <si>
    <t>Symboles employés sur les graphiques</t>
  </si>
  <si>
    <t>Augmentation</t>
  </si>
  <si>
    <t>(sur tout le cycle)</t>
  </si>
  <si>
    <t>Excès</t>
  </si>
  <si>
    <t>(sur une portion du cycle)</t>
  </si>
  <si>
    <t>Précoce</t>
  </si>
  <si>
    <t>Trop long</t>
  </si>
  <si>
    <t>Amplitude augmentée</t>
  </si>
  <si>
    <t>ou</t>
  </si>
  <si>
    <t>Dans les normes</t>
  </si>
  <si>
    <t>Artefact possible</t>
  </si>
  <si>
    <t>Autre anomalie</t>
  </si>
  <si>
    <t>Diminution</t>
  </si>
  <si>
    <t>Rotation (externe + / interne -)</t>
  </si>
  <si>
    <t>Inclinaison (élévation + / chute -)</t>
  </si>
  <si>
    <t>Genou</t>
  </si>
  <si>
    <t>Flexion (+) / Extension (-)</t>
  </si>
  <si>
    <t>Abduction (+) / Adduction (-)</t>
  </si>
  <si>
    <t>Rotation interne (+) / externe (-)</t>
  </si>
  <si>
    <t>Cheville</t>
  </si>
  <si>
    <t>Eversion (+) / Inversion (-)</t>
  </si>
  <si>
    <t>Hanche</t>
  </si>
  <si>
    <t>Pied</t>
  </si>
  <si>
    <t>Défaut</t>
  </si>
  <si>
    <t>Retard</t>
  </si>
  <si>
    <t>Amplitude diminuée</t>
  </si>
  <si>
    <t>Pente anormale</t>
  </si>
  <si>
    <t>Trop court</t>
  </si>
  <si>
    <t>La flèche pointe la courbe</t>
  </si>
  <si>
    <t>La flèche pointe l'anomalie</t>
  </si>
  <si>
    <t>Les flèches délimitent l'anomalie</t>
  </si>
  <si>
    <t>Aligner la pente avec l'anomalie</t>
  </si>
  <si>
    <t>A utiliser uniquement pour une raison particulière</t>
  </si>
  <si>
    <t>Encercle l'anomalie</t>
  </si>
  <si>
    <t>Echelles employées pour l'examen clinique</t>
  </si>
  <si>
    <t>Contraction non palpable ou non observable</t>
  </si>
  <si>
    <t>Contraction palpable ou observable mais pas de mouvement</t>
  </si>
  <si>
    <t>Mouvement possible dans une position sans gravité</t>
  </si>
  <si>
    <t>Mouvement contre gravité et légère résistance</t>
  </si>
  <si>
    <t>Mouvement contre gravité</t>
  </si>
  <si>
    <t>Force normale</t>
  </si>
  <si>
    <t>Normal</t>
  </si>
  <si>
    <t>Anomalie importante</t>
  </si>
  <si>
    <t>Anomalie légère</t>
  </si>
  <si>
    <t>1+</t>
  </si>
  <si>
    <t>Pas d'augmentation du tonus musculaire</t>
  </si>
  <si>
    <t>Légère augmentation du tonus (accroche ponctuelle)</t>
  </si>
  <si>
    <t>Résistance très nette et mouvement difficile</t>
  </si>
  <si>
    <t>Articulation rigide</t>
  </si>
  <si>
    <r>
      <rPr>
        <b/>
        <sz val="10"/>
        <color theme="1"/>
        <rFont val="Calibri"/>
        <family val="2"/>
        <scheme val="minor"/>
      </rPr>
      <t>Force</t>
    </r>
    <r>
      <rPr>
        <sz val="10"/>
        <color theme="1"/>
        <rFont val="Calibri"/>
        <family val="2"/>
        <scheme val="minor"/>
      </rPr>
      <t xml:space="preserve"> | Echelle MRC [1]</t>
    </r>
  </si>
  <si>
    <r>
      <rPr>
        <b/>
        <sz val="10"/>
        <color theme="1"/>
        <rFont val="Calibri"/>
        <family val="2"/>
        <scheme val="minor"/>
      </rPr>
      <t>Spasticité</t>
    </r>
    <r>
      <rPr>
        <sz val="10"/>
        <color theme="1"/>
        <rFont val="Calibri"/>
        <family val="2"/>
        <scheme val="minor"/>
      </rPr>
      <t xml:space="preserve"> | Echelle d'Ashworth modifiée [2]</t>
    </r>
  </si>
  <si>
    <r>
      <rPr>
        <b/>
        <sz val="10"/>
        <color theme="1"/>
        <rFont val="Calibri"/>
        <family val="2"/>
        <scheme val="minor"/>
      </rPr>
      <t>Spasticité</t>
    </r>
    <r>
      <rPr>
        <sz val="10"/>
        <color theme="1"/>
        <rFont val="Calibri"/>
        <family val="2"/>
        <scheme val="minor"/>
      </rPr>
      <t xml:space="preserve"> | Echelle de Tardieu [3]</t>
    </r>
  </si>
  <si>
    <r>
      <rPr>
        <b/>
        <sz val="10"/>
        <color theme="1"/>
        <rFont val="Calibri"/>
        <family val="2"/>
        <scheme val="minor"/>
      </rPr>
      <t>Sélectivité</t>
    </r>
    <r>
      <rPr>
        <sz val="10"/>
        <color theme="1"/>
        <rFont val="Calibri"/>
        <family val="2"/>
        <scheme val="minor"/>
      </rPr>
      <t xml:space="preserve"> | Boyd</t>
    </r>
  </si>
  <si>
    <r>
      <rPr>
        <b/>
        <sz val="10"/>
        <color theme="1"/>
        <rFont val="Calibri"/>
        <family val="2"/>
        <scheme val="minor"/>
      </rPr>
      <t>Sélectivité</t>
    </r>
    <r>
      <rPr>
        <sz val="10"/>
        <color theme="1"/>
        <rFont val="Calibri"/>
        <family val="2"/>
        <scheme val="minor"/>
      </rPr>
      <t xml:space="preserve"> | CMS</t>
    </r>
  </si>
  <si>
    <t>Pas de CMS, minime contraction</t>
  </si>
  <si>
    <t>0.5</t>
  </si>
  <si>
    <t>1.5</t>
  </si>
  <si>
    <t>Mauvais contrôle sélectif, commande dissociée, mouvement limité, cocontractions possibles</t>
  </si>
  <si>
    <t>CMS correct mais défaut de fluidité ou limitation dans le mouvement (cocontractions)</t>
  </si>
  <si>
    <t>CMS parfait, contraction et muscles appropriés</t>
  </si>
  <si>
    <t>Pas de mouvement (mvt)</t>
  </si>
  <si>
    <t>Mvt limité EDL et/ou EHL</t>
  </si>
  <si>
    <t>Mvt EDL/EHL et peu de TA</t>
  </si>
  <si>
    <t>Noter l'angle auquel l'accroche</t>
  </si>
  <si>
    <t>se fait sentir</t>
  </si>
  <si>
    <t>Confusion test</t>
  </si>
  <si>
    <t>Résistance plus marquée mais mvt facilement réalisable</t>
  </si>
  <si>
    <t>Légère augmentation du tonus
(accroche sur moins la moitié de l'amplitude)</t>
  </si>
  <si>
    <t>Contraction et mvt minimes et/ou bcp de cocontractions</t>
  </si>
  <si>
    <t>Aucun mouvement</t>
  </si>
  <si>
    <t>Mobilité limitée</t>
  </si>
  <si>
    <t>Mobilité normale
(neutre, inversion, eversion)</t>
  </si>
  <si>
    <t>Mvt complet surtout TA, CT +</t>
  </si>
  <si>
    <r>
      <rPr>
        <b/>
        <sz val="10"/>
        <color theme="1"/>
        <rFont val="Calibri"/>
        <family val="2"/>
        <scheme val="minor"/>
      </rPr>
      <t>Cotation</t>
    </r>
    <r>
      <rPr>
        <sz val="10"/>
        <color theme="1"/>
        <rFont val="Calibri"/>
        <family val="2"/>
        <scheme val="minor"/>
      </rPr>
      <t xml:space="preserve"> spécifique</t>
    </r>
  </si>
  <si>
    <t>HANCHE</t>
  </si>
  <si>
    <t>GENOU</t>
  </si>
  <si>
    <t>CHEVILLE</t>
  </si>
  <si>
    <t>PIED</t>
  </si>
  <si>
    <r>
      <t>Extension (Thomas, DD)</t>
    </r>
    <r>
      <rPr>
        <i/>
        <sz val="8"/>
        <rFont val="Calibri"/>
        <family val="2"/>
      </rPr>
      <t xml:space="preserve"> (° deg)</t>
    </r>
  </si>
  <si>
    <r>
      <t>Abduction (hanche 0°, genou 0°)</t>
    </r>
    <r>
      <rPr>
        <i/>
        <sz val="8"/>
        <rFont val="Calibri"/>
        <family val="2"/>
      </rPr>
      <t xml:space="preserve"> (° deg)</t>
    </r>
  </si>
  <si>
    <r>
      <t>Rotation Int|Ext (decubitus dorsal)</t>
    </r>
    <r>
      <rPr>
        <i/>
        <sz val="8"/>
        <rFont val="Calibri"/>
        <family val="2"/>
      </rPr>
      <t xml:space="preserve"> (° deg)</t>
    </r>
  </si>
  <si>
    <r>
      <t>Rotation Int|Ext (decubitus ventral)</t>
    </r>
    <r>
      <rPr>
        <i/>
        <sz val="8"/>
        <rFont val="Calibri"/>
        <family val="2"/>
      </rPr>
      <t xml:space="preserve"> (° deg)</t>
    </r>
  </si>
  <si>
    <r>
      <t xml:space="preserve">Anteversion fémorale </t>
    </r>
    <r>
      <rPr>
        <i/>
        <sz val="8"/>
        <rFont val="Calibri"/>
        <family val="2"/>
      </rPr>
      <t>(° deg)</t>
    </r>
  </si>
  <si>
    <r>
      <t>Force fléchisseurs (</t>
    </r>
    <r>
      <rPr>
        <i/>
        <sz val="8"/>
        <rFont val="Calibri"/>
        <family val="2"/>
      </rPr>
      <t>MRC | CMS)</t>
    </r>
  </si>
  <si>
    <r>
      <t>Force extenseurs (</t>
    </r>
    <r>
      <rPr>
        <i/>
        <sz val="8"/>
        <rFont val="Calibri"/>
        <family val="2"/>
      </rPr>
      <t>MRC | CMS)</t>
    </r>
  </si>
  <si>
    <r>
      <t>Force abducteurs (</t>
    </r>
    <r>
      <rPr>
        <i/>
        <sz val="8"/>
        <rFont val="Calibri"/>
        <family val="2"/>
      </rPr>
      <t>MRC | CMS)</t>
    </r>
  </si>
  <si>
    <r>
      <t>Spasticité adducteurs (</t>
    </r>
    <r>
      <rPr>
        <i/>
        <sz val="8"/>
        <rFont val="Calibri"/>
        <family val="2"/>
      </rPr>
      <t>Ashworth modifié | Tardieu °)</t>
    </r>
  </si>
  <si>
    <r>
      <t xml:space="preserve">Extension </t>
    </r>
    <r>
      <rPr>
        <i/>
        <sz val="8"/>
        <rFont val="Calibri"/>
        <family val="2"/>
      </rPr>
      <t>(° deg)</t>
    </r>
  </si>
  <si>
    <r>
      <rPr>
        <sz val="8"/>
        <rFont val="Calibri"/>
        <family val="2"/>
      </rPr>
      <t xml:space="preserve">Angle mort </t>
    </r>
    <r>
      <rPr>
        <i/>
        <sz val="8"/>
        <rFont val="Calibri"/>
        <family val="2"/>
      </rPr>
      <t>(° deg)</t>
    </r>
  </si>
  <si>
    <r>
      <rPr>
        <sz val="8"/>
        <rFont val="Calibri"/>
        <family val="2"/>
      </rPr>
      <t xml:space="preserve">Rotule haute </t>
    </r>
    <r>
      <rPr>
        <i/>
        <sz val="8"/>
        <rFont val="Calibri"/>
        <family val="2"/>
      </rPr>
      <t>(cm)</t>
    </r>
  </si>
  <si>
    <r>
      <t xml:space="preserve">Angle poplité unilatéral </t>
    </r>
    <r>
      <rPr>
        <i/>
        <sz val="8"/>
        <rFont val="Calibri"/>
        <family val="2"/>
      </rPr>
      <t>(° deg)</t>
    </r>
  </si>
  <si>
    <r>
      <t xml:space="preserve">Angle poplité bilatéral (pelvis à 0°) </t>
    </r>
    <r>
      <rPr>
        <i/>
        <sz val="8"/>
        <rFont val="Calibri"/>
        <family val="2"/>
      </rPr>
      <t>(° deg)</t>
    </r>
  </si>
  <si>
    <r>
      <t>Spasticité fléchisseurs (</t>
    </r>
    <r>
      <rPr>
        <i/>
        <sz val="8"/>
        <rFont val="Calibri"/>
        <family val="2"/>
      </rPr>
      <t>Ashworth modifié | Tardieu °)</t>
    </r>
  </si>
  <si>
    <r>
      <t>Spasticité extenseurs / Duncan E. (</t>
    </r>
    <r>
      <rPr>
        <i/>
        <sz val="8"/>
        <rFont val="Calibri"/>
        <family val="2"/>
      </rPr>
      <t>Ashworth modifié | Tardieu °)</t>
    </r>
  </si>
  <si>
    <r>
      <t>Dorsiflexion (genou 0°)</t>
    </r>
    <r>
      <rPr>
        <b/>
        <sz val="8"/>
        <rFont val="Calibri"/>
        <family val="2"/>
      </rPr>
      <t xml:space="preserve"> </t>
    </r>
    <r>
      <rPr>
        <i/>
        <sz val="8"/>
        <rFont val="Calibri"/>
        <family val="2"/>
      </rPr>
      <t xml:space="preserve">(° deg) </t>
    </r>
    <r>
      <rPr>
        <b/>
        <sz val="8"/>
        <rFont val="Calibri"/>
        <family val="2"/>
      </rPr>
      <t>(R1 de Boyd)</t>
    </r>
  </si>
  <si>
    <r>
      <t xml:space="preserve">Dorsiflexion (genou 90°) </t>
    </r>
    <r>
      <rPr>
        <i/>
        <sz val="8"/>
        <rFont val="Calibri"/>
        <family val="2"/>
      </rPr>
      <t>(° deg)</t>
    </r>
  </si>
  <si>
    <r>
      <t>Torsion tibiale</t>
    </r>
    <r>
      <rPr>
        <i/>
        <sz val="8"/>
        <rFont val="Calibri"/>
        <family val="2"/>
      </rPr>
      <t xml:space="preserve"> (° deg)</t>
    </r>
  </si>
  <si>
    <r>
      <t>Force tibialis anterior (</t>
    </r>
    <r>
      <rPr>
        <i/>
        <sz val="8"/>
        <rFont val="Calibri"/>
        <family val="2"/>
      </rPr>
      <t>MRC | Boyd)</t>
    </r>
  </si>
  <si>
    <r>
      <t>Force peroneus longus (</t>
    </r>
    <r>
      <rPr>
        <i/>
        <sz val="8"/>
        <rFont val="Calibri"/>
        <family val="2"/>
      </rPr>
      <t>MRC | CMS)</t>
    </r>
  </si>
  <si>
    <r>
      <t>Force tibialis posterior (</t>
    </r>
    <r>
      <rPr>
        <i/>
        <sz val="8"/>
        <rFont val="Calibri"/>
        <family val="2"/>
      </rPr>
      <t>MRC | CMS)</t>
    </r>
  </si>
  <si>
    <r>
      <t>Force gastroc-soleus (</t>
    </r>
    <r>
      <rPr>
        <i/>
        <sz val="8"/>
        <rFont val="Calibri"/>
        <family val="2"/>
      </rPr>
      <t>MRC | CMS)</t>
    </r>
  </si>
  <si>
    <r>
      <t>Spasticité gastroc-soleus (</t>
    </r>
    <r>
      <rPr>
        <i/>
        <sz val="8"/>
        <rFont val="Calibri"/>
        <family val="2"/>
      </rPr>
      <t xml:space="preserve">Ashworth mod | Tardieu (° deg) = </t>
    </r>
    <r>
      <rPr>
        <b/>
        <i/>
        <sz val="8"/>
        <rFont val="Calibri"/>
        <family val="2"/>
      </rPr>
      <t>R2</t>
    </r>
    <r>
      <rPr>
        <i/>
        <sz val="8"/>
        <rFont val="Calibri"/>
        <family val="2"/>
      </rPr>
      <t>)</t>
    </r>
  </si>
  <si>
    <r>
      <t xml:space="preserve">Spasticité gastroc-soleus : </t>
    </r>
    <r>
      <rPr>
        <i/>
        <sz val="8"/>
        <rFont val="Calibri"/>
        <family val="2"/>
      </rPr>
      <t>R1-R2 (° deg)</t>
    </r>
  </si>
  <si>
    <r>
      <t xml:space="preserve">Axe cruro-pédieux procubitus </t>
    </r>
    <r>
      <rPr>
        <i/>
        <sz val="8"/>
        <rFont val="Calibri"/>
        <family val="2"/>
      </rPr>
      <t>(° deg)</t>
    </r>
  </si>
  <si>
    <r>
      <t xml:space="preserve">VR|VG attitude spontanée </t>
    </r>
    <r>
      <rPr>
        <i/>
        <sz val="8"/>
        <rFont val="Calibri"/>
        <family val="2"/>
      </rPr>
      <t xml:space="preserve">(0, 1, 2) </t>
    </r>
  </si>
  <si>
    <r>
      <t xml:space="preserve">Adductus|Abductus avant-pied </t>
    </r>
    <r>
      <rPr>
        <i/>
        <sz val="8"/>
        <rFont val="Calibri"/>
        <family val="2"/>
      </rPr>
      <t>(° deg)</t>
    </r>
  </si>
  <si>
    <r>
      <t xml:space="preserve">Griffe passive </t>
    </r>
    <r>
      <rPr>
        <i/>
        <sz val="8"/>
        <rFont val="Calibri"/>
        <family val="2"/>
      </rPr>
      <t>(0: NON, 1: OUI)</t>
    </r>
  </si>
  <si>
    <r>
      <t xml:space="preserve">Griffe dynamique </t>
    </r>
    <r>
      <rPr>
        <i/>
        <sz val="8"/>
        <rFont val="Calibri"/>
        <family val="2"/>
      </rPr>
      <t>(0: NON, 1: OUI)</t>
    </r>
  </si>
  <si>
    <r>
      <t xml:space="preserve">Flexion </t>
    </r>
    <r>
      <rPr>
        <i/>
        <sz val="8"/>
        <rFont val="Calibri"/>
        <family val="2"/>
      </rPr>
      <t>(° deg)</t>
    </r>
  </si>
  <si>
    <r>
      <t xml:space="preserve">Extension (Staheli : DV, Genou à 0° ) IP seul </t>
    </r>
    <r>
      <rPr>
        <i/>
        <sz val="8"/>
        <rFont val="Calibri"/>
        <family val="2"/>
      </rPr>
      <t>(° deg)</t>
    </r>
  </si>
  <si>
    <r>
      <t xml:space="preserve">Extension (Staheli DV, Genou à 90°) IP + RF </t>
    </r>
    <r>
      <rPr>
        <i/>
        <sz val="8"/>
        <rFont val="Calibri"/>
        <family val="2"/>
      </rPr>
      <t>(° deg)</t>
    </r>
  </si>
  <si>
    <r>
      <t>Abduction  (Flex-H / Flex-G) Add B</t>
    </r>
    <r>
      <rPr>
        <i/>
        <sz val="8"/>
        <rFont val="Calibri"/>
        <family val="2"/>
      </rPr>
      <t xml:space="preserve"> (° deg)</t>
    </r>
  </si>
  <si>
    <r>
      <t>Abduction (Ext-H / Flex-G) Add B+L</t>
    </r>
    <r>
      <rPr>
        <i/>
        <sz val="8"/>
        <rFont val="Calibri"/>
        <family val="2"/>
      </rPr>
      <t xml:space="preserve"> (° deg)</t>
    </r>
  </si>
  <si>
    <r>
      <t xml:space="preserve">Adduction </t>
    </r>
    <r>
      <rPr>
        <i/>
        <sz val="8"/>
        <rFont val="Calibri"/>
        <family val="2"/>
      </rPr>
      <t>(° deg)</t>
    </r>
  </si>
  <si>
    <r>
      <t>Force adducteurs (</t>
    </r>
    <r>
      <rPr>
        <i/>
        <sz val="8"/>
        <rFont val="Calibri"/>
        <family val="2"/>
      </rPr>
      <t>MRC | CMS)</t>
    </r>
  </si>
  <si>
    <r>
      <t>Force rotateurs internes (</t>
    </r>
    <r>
      <rPr>
        <i/>
        <sz val="8"/>
        <rFont val="Calibri"/>
        <family val="2"/>
      </rPr>
      <t>MRC | CMS)</t>
    </r>
  </si>
  <si>
    <r>
      <t>Force rotateurs externes (</t>
    </r>
    <r>
      <rPr>
        <i/>
        <sz val="8"/>
        <rFont val="Calibri"/>
        <family val="2"/>
      </rPr>
      <t>MRC | CMS)</t>
    </r>
  </si>
  <si>
    <r>
      <t>Spasticité abducteurs (</t>
    </r>
    <r>
      <rPr>
        <i/>
        <sz val="8"/>
        <rFont val="Calibri"/>
        <family val="2"/>
      </rPr>
      <t>Ashworth modifié | Tardieu °)</t>
    </r>
  </si>
  <si>
    <r>
      <t>Spasticité rotateurs internes (</t>
    </r>
    <r>
      <rPr>
        <i/>
        <sz val="8"/>
        <rFont val="Calibri"/>
        <family val="2"/>
      </rPr>
      <t>Ashworth modifié | Tardieu °)</t>
    </r>
  </si>
  <si>
    <r>
      <t>Spasticité rotateurs externes (</t>
    </r>
    <r>
      <rPr>
        <i/>
        <sz val="8"/>
        <rFont val="Calibri"/>
        <family val="2"/>
      </rPr>
      <t>Ashworth modifié | Tardieu °)</t>
    </r>
  </si>
  <si>
    <r>
      <t xml:space="preserve">Flexion plantaire </t>
    </r>
    <r>
      <rPr>
        <i/>
        <sz val="8"/>
        <rFont val="Calibri"/>
        <family val="2"/>
      </rPr>
      <t>(° deg)</t>
    </r>
  </si>
  <si>
    <r>
      <t>Flexion dorsale DD (Silverskold)</t>
    </r>
    <r>
      <rPr>
        <i/>
        <sz val="8"/>
        <rFont val="Calibri"/>
        <family val="2"/>
      </rPr>
      <t xml:space="preserve"> (° deg)</t>
    </r>
  </si>
  <si>
    <r>
      <t xml:space="preserve">Flexion dorsale max en charge (fente avant) </t>
    </r>
    <r>
      <rPr>
        <i/>
        <sz val="8"/>
        <rFont val="Calibri"/>
        <family val="2"/>
      </rPr>
      <t>(° deg)</t>
    </r>
  </si>
  <si>
    <r>
      <t>Force ext dig long (</t>
    </r>
    <r>
      <rPr>
        <i/>
        <sz val="8"/>
        <rFont val="Calibri"/>
        <family val="2"/>
      </rPr>
      <t>MRC | CMS)</t>
    </r>
  </si>
  <si>
    <r>
      <t>Force ext hall long (</t>
    </r>
    <r>
      <rPr>
        <i/>
        <sz val="8"/>
        <rFont val="Calibri"/>
        <family val="2"/>
      </rPr>
      <t>MRC | CMS)</t>
    </r>
  </si>
  <si>
    <r>
      <t>Force flex dig long (</t>
    </r>
    <r>
      <rPr>
        <i/>
        <sz val="8"/>
        <rFont val="Calibri"/>
        <family val="2"/>
      </rPr>
      <t>MRC</t>
    </r>
    <r>
      <rPr>
        <sz val="8"/>
        <rFont val="Calibri"/>
        <family val="2"/>
      </rPr>
      <t xml:space="preserve"> </t>
    </r>
    <r>
      <rPr>
        <i/>
        <sz val="8"/>
        <rFont val="Calibri"/>
        <family val="2"/>
      </rPr>
      <t>| CMS)</t>
    </r>
  </si>
  <si>
    <r>
      <t>Force flex hall long (</t>
    </r>
    <r>
      <rPr>
        <i/>
        <sz val="8"/>
        <rFont val="Calibri"/>
        <family val="2"/>
      </rPr>
      <t>MRC | CMS)</t>
    </r>
  </si>
  <si>
    <r>
      <t xml:space="preserve">Axe Bi-Malléolaire assis </t>
    </r>
    <r>
      <rPr>
        <i/>
        <sz val="8"/>
        <rFont val="Calibri"/>
        <family val="2"/>
      </rPr>
      <t>(° deg)</t>
    </r>
  </si>
  <si>
    <r>
      <t xml:space="preserve">VR|VG en charge </t>
    </r>
    <r>
      <rPr>
        <i/>
        <sz val="8"/>
        <rFont val="Calibri"/>
        <family val="2"/>
      </rPr>
      <t xml:space="preserve">(0, 1, 2) </t>
    </r>
  </si>
  <si>
    <r>
      <t>Dislocation médio-tarsienne</t>
    </r>
    <r>
      <rPr>
        <i/>
        <sz val="8"/>
        <rFont val="Calibri"/>
        <family val="2"/>
      </rPr>
      <t xml:space="preserve"> (0, 1, 2)</t>
    </r>
  </si>
  <si>
    <r>
      <t xml:space="preserve">Rétraction fléchisseurs orteils </t>
    </r>
    <r>
      <rPr>
        <i/>
        <sz val="8"/>
        <rFont val="Calibri"/>
        <family val="2"/>
      </rPr>
      <t>(0, 1, 2)</t>
    </r>
  </si>
  <si>
    <r>
      <t>Pied plat</t>
    </r>
    <r>
      <rPr>
        <i/>
        <sz val="8"/>
        <rFont val="Calibri"/>
        <family val="2"/>
      </rPr>
      <t xml:space="preserve"> (0, 1, 2)</t>
    </r>
  </si>
  <si>
    <r>
      <t xml:space="preserve">Pied cavus </t>
    </r>
    <r>
      <rPr>
        <i/>
        <sz val="8"/>
        <rFont val="Calibri"/>
        <family val="2"/>
      </rPr>
      <t>(0, 1, 2)</t>
    </r>
  </si>
  <si>
    <r>
      <t xml:space="preserve">Pied convexe </t>
    </r>
    <r>
      <rPr>
        <i/>
        <sz val="8"/>
        <rFont val="Calibri"/>
        <family val="2"/>
      </rPr>
      <t>(0, 1, 2)</t>
    </r>
  </si>
  <si>
    <r>
      <t>Hallux valgus</t>
    </r>
    <r>
      <rPr>
        <b/>
        <sz val="8"/>
        <rFont val="Calibri"/>
        <family val="2"/>
      </rPr>
      <t xml:space="preserve"> </t>
    </r>
    <r>
      <rPr>
        <i/>
        <sz val="8"/>
        <rFont val="Calibri"/>
        <family val="2"/>
      </rPr>
      <t>(0, 1, 2)</t>
    </r>
  </si>
  <si>
    <r>
      <t xml:space="preserve">Hallux flexus </t>
    </r>
    <r>
      <rPr>
        <i/>
        <sz val="8"/>
        <rFont val="Calibri"/>
        <family val="2"/>
      </rPr>
      <t>(0, 1, 2)</t>
    </r>
  </si>
  <si>
    <r>
      <t xml:space="preserve">Hallux rigidus </t>
    </r>
    <r>
      <rPr>
        <i/>
        <sz val="8"/>
        <rFont val="Calibri"/>
        <family val="2"/>
      </rPr>
      <t>(0, 1, 2)</t>
    </r>
  </si>
  <si>
    <t>Sensibilité</t>
  </si>
  <si>
    <t>Profonde</t>
  </si>
  <si>
    <t>Normale</t>
  </si>
  <si>
    <t>Superficielle</t>
  </si>
  <si>
    <t>Sensibilite</t>
  </si>
  <si>
    <t>Hypoesthesie</t>
  </si>
  <si>
    <t>Anesthesie</t>
  </si>
  <si>
    <t>Homme</t>
  </si>
  <si>
    <t>Modeles</t>
  </si>
  <si>
    <t>Terrain de marche</t>
  </si>
  <si>
    <t>EMG droit</t>
  </si>
  <si>
    <t>EMG gauche</t>
  </si>
  <si>
    <t>Forceplates</t>
  </si>
  <si>
    <t>Système</t>
  </si>
  <si>
    <t>Equipe</t>
  </si>
  <si>
    <t>Nom pathologie</t>
  </si>
  <si>
    <t>Type pathologie</t>
  </si>
  <si>
    <t>Type accident</t>
  </si>
  <si>
    <t>Cote affecte</t>
  </si>
  <si>
    <t>Membre affecte</t>
  </si>
  <si>
    <t>Liste muscles</t>
  </si>
  <si>
    <t>Oui/non</t>
  </si>
  <si>
    <t>Femme</t>
  </si>
  <si>
    <t>Piste de marche</t>
  </si>
  <si>
    <t>none</t>
  </si>
  <si>
    <t>Qualisys</t>
  </si>
  <si>
    <t>F. Chantraine</t>
  </si>
  <si>
    <t>Evaluation à titre diagnostique</t>
  </si>
  <si>
    <t>Hémiplégie</t>
  </si>
  <si>
    <t>Neurologique</t>
  </si>
  <si>
    <t>AVC ischémique</t>
  </si>
  <si>
    <t>Droit</t>
  </si>
  <si>
    <t>Inférieur</t>
  </si>
  <si>
    <t>Right gluteus maximus</t>
  </si>
  <si>
    <t>Oui</t>
  </si>
  <si>
    <t>Tapis de marche</t>
  </si>
  <si>
    <t>----------------------------------</t>
  </si>
  <si>
    <t>BTS</t>
  </si>
  <si>
    <t>E. Kolanowski</t>
  </si>
  <si>
    <t>Suivi longitudinal</t>
  </si>
  <si>
    <t>Monoplégie</t>
  </si>
  <si>
    <t>Orthopédique / Traumatologique</t>
  </si>
  <si>
    <t>AVC hémorragique</t>
  </si>
  <si>
    <t>Supérieur</t>
  </si>
  <si>
    <t>Right gluteus medius</t>
  </si>
  <si>
    <t>Non</t>
  </si>
  <si>
    <t>A. Remacle</t>
  </si>
  <si>
    <t>Bilan pré-thérapeutique</t>
  </si>
  <si>
    <t>Diplégie</t>
  </si>
  <si>
    <t>Aucune</t>
  </si>
  <si>
    <t>Autre</t>
  </si>
  <si>
    <t>Les deux</t>
  </si>
  <si>
    <t>Right gluteus minimus</t>
  </si>
  <si>
    <t>C. Schreiber</t>
  </si>
  <si>
    <t>Bilan post-thérapeutique</t>
  </si>
  <si>
    <t>Quadriplégie</t>
  </si>
  <si>
    <t>Aucun</t>
  </si>
  <si>
    <t>Right adductor longus</t>
  </si>
  <si>
    <t>F. Moissenet</t>
  </si>
  <si>
    <t>Etude clinique</t>
  </si>
  <si>
    <t>Triplégie</t>
  </si>
  <si>
    <t>Right adductor brevis</t>
  </si>
  <si>
    <t>G. Areno</t>
  </si>
  <si>
    <t>Expertise</t>
  </si>
  <si>
    <t>Paraplégie</t>
  </si>
  <si>
    <t>Right adductor magnus</t>
  </si>
  <si>
    <t>P. Filipetti</t>
  </si>
  <si>
    <t>Norme</t>
  </si>
  <si>
    <t>Tétraplégie</t>
  </si>
  <si>
    <t>Right pectineus</t>
  </si>
  <si>
    <t>A. Naaim</t>
  </si>
  <si>
    <t>Right illiacus</t>
  </si>
  <si>
    <t>SEP</t>
  </si>
  <si>
    <t>Right psoas</t>
  </si>
  <si>
    <t>Charcot-Marie</t>
  </si>
  <si>
    <t>Right quadratus femoris</t>
  </si>
  <si>
    <t>Guillain-Barré</t>
  </si>
  <si>
    <t>Right gemelli</t>
  </si>
  <si>
    <t>Strumpell-Lorrain</t>
  </si>
  <si>
    <t>Right piriformis</t>
  </si>
  <si>
    <t>Poliomyélite</t>
  </si>
  <si>
    <t>Right tensor fasica lata</t>
  </si>
  <si>
    <t>Myopathie</t>
  </si>
  <si>
    <t>Right gracilis</t>
  </si>
  <si>
    <t>Parkinson</t>
  </si>
  <si>
    <t>Right sartorius</t>
  </si>
  <si>
    <t>TC</t>
  </si>
  <si>
    <t>Right semimembranosus</t>
  </si>
  <si>
    <t>Right semitendinosus</t>
  </si>
  <si>
    <t>Torticolis spasmodique</t>
  </si>
  <si>
    <t>Right biceps femoris long head</t>
  </si>
  <si>
    <t>Dystonie cervicale</t>
  </si>
  <si>
    <t>Right biceps femoris short head</t>
  </si>
  <si>
    <t>Right rectus femoris</t>
  </si>
  <si>
    <t>Scoliose</t>
  </si>
  <si>
    <t>Right vastus medialis</t>
  </si>
  <si>
    <t>Sciatique</t>
  </si>
  <si>
    <t>Right vastus intermedialis</t>
  </si>
  <si>
    <t>PTH</t>
  </si>
  <si>
    <t>Right vastus lateralis</t>
  </si>
  <si>
    <t>PTG</t>
  </si>
  <si>
    <t>Right gastrocnemius medialis</t>
  </si>
  <si>
    <t>Right gastrocnemius lateralis</t>
  </si>
  <si>
    <t>Amputation trans-tibiale</t>
  </si>
  <si>
    <t>Right soleus</t>
  </si>
  <si>
    <t>Amputation trans-femorale</t>
  </si>
  <si>
    <t>Right tibialis posterior</t>
  </si>
  <si>
    <t>Right tibialis anterior</t>
  </si>
  <si>
    <t>Right peroneus brevis</t>
  </si>
  <si>
    <t>Right peroneus longus</t>
  </si>
  <si>
    <t>Right peroneus tertius</t>
  </si>
  <si>
    <t>Right extensor digitorum longus</t>
  </si>
  <si>
    <t>Right extensor hallucis longus</t>
  </si>
  <si>
    <t>Right flexor digitorum longus</t>
  </si>
  <si>
    <t>Right flexor hallucis longus</t>
  </si>
  <si>
    <t>Left gluteus maximus</t>
  </si>
  <si>
    <t>Left gluteus medius</t>
  </si>
  <si>
    <t>Left gluteus minimus</t>
  </si>
  <si>
    <t>Left adductor longus</t>
  </si>
  <si>
    <t>Left adductor brevis</t>
  </si>
  <si>
    <t>Left adductor magnus</t>
  </si>
  <si>
    <t>Left pectineus</t>
  </si>
  <si>
    <t>Left illiacus</t>
  </si>
  <si>
    <t>Left psoas</t>
  </si>
  <si>
    <t>Left quadratus femoris</t>
  </si>
  <si>
    <t>Left gemelli</t>
  </si>
  <si>
    <t>Left piriformis</t>
  </si>
  <si>
    <t>Left tensor fasica lata</t>
  </si>
  <si>
    <t>Left gracilis</t>
  </si>
  <si>
    <t>Left sartorius</t>
  </si>
  <si>
    <t>Left semimembranosus</t>
  </si>
  <si>
    <t>Left semitendinosus</t>
  </si>
  <si>
    <t>Left biceps femoris long head</t>
  </si>
  <si>
    <t>Left biceps femoris short head</t>
  </si>
  <si>
    <t>Left rectus femoris</t>
  </si>
  <si>
    <t>Left vastus medialis</t>
  </si>
  <si>
    <t>Left vastus intermedialis</t>
  </si>
  <si>
    <t>Left vastus lateralis</t>
  </si>
  <si>
    <t>Left gastrocnemius medialis</t>
  </si>
  <si>
    <t>Left gastrocnemius lateralis</t>
  </si>
  <si>
    <t>Left soleus</t>
  </si>
  <si>
    <t>Left tibialis posterior</t>
  </si>
  <si>
    <t>Left tibialis anterior</t>
  </si>
  <si>
    <t>Left peroneus brevis</t>
  </si>
  <si>
    <t>Left peroneus longus</t>
  </si>
  <si>
    <t>Left peroneus tertius</t>
  </si>
  <si>
    <t>Left extensor digitorum longus</t>
  </si>
  <si>
    <t>Left extensor hallucis longus</t>
  </si>
  <si>
    <t>Left flexor digitorum longus</t>
  </si>
  <si>
    <t>Left flexor hallucis longus</t>
  </si>
  <si>
    <t>Operateur</t>
  </si>
  <si>
    <t>Date de n.</t>
  </si>
  <si>
    <r>
      <t xml:space="preserve">Poids </t>
    </r>
    <r>
      <rPr>
        <sz val="9"/>
        <rFont val="Arial"/>
        <family val="2"/>
      </rPr>
      <t>(kg)</t>
    </r>
  </si>
  <si>
    <r>
      <t>Taille</t>
    </r>
    <r>
      <rPr>
        <sz val="9"/>
        <rFont val="Arial"/>
        <family val="2"/>
      </rPr>
      <t xml:space="preserve"> (cm)</t>
    </r>
  </si>
  <si>
    <r>
      <t xml:space="preserve">IMC </t>
    </r>
    <r>
      <rPr>
        <sz val="9"/>
        <color theme="1"/>
        <rFont val="Arial"/>
        <family val="2"/>
      </rPr>
      <t>(kg / cm2)</t>
    </r>
  </si>
  <si>
    <t>Protocole</t>
  </si>
  <si>
    <t>Terrain</t>
  </si>
  <si>
    <t>Chaines cinématiques</t>
  </si>
  <si>
    <t>EMG</t>
  </si>
  <si>
    <r>
      <t xml:space="preserve">Membre sup. </t>
    </r>
    <r>
      <rPr>
        <sz val="9"/>
        <color theme="1"/>
        <rFont val="Arial"/>
        <family val="2"/>
      </rPr>
      <t>(Msup)</t>
    </r>
  </si>
  <si>
    <r>
      <t xml:space="preserve">Membre inf. </t>
    </r>
    <r>
      <rPr>
        <sz val="9"/>
        <color theme="1"/>
        <rFont val="Arial"/>
        <family val="2"/>
      </rPr>
      <t>(Minf)</t>
    </r>
  </si>
  <si>
    <r>
      <t xml:space="preserve">Tête/tronc </t>
    </r>
    <r>
      <rPr>
        <sz val="9"/>
        <color theme="1"/>
        <rFont val="Arial"/>
        <family val="2"/>
      </rPr>
      <t>(Mpost)</t>
    </r>
  </si>
  <si>
    <r>
      <t xml:space="preserve">Pied multisegm. </t>
    </r>
    <r>
      <rPr>
        <sz val="9"/>
        <color theme="1"/>
        <rFont val="Arial"/>
        <family val="2"/>
      </rPr>
      <t>(Mpied)</t>
    </r>
  </si>
  <si>
    <t>Acquisitions</t>
  </si>
  <si>
    <t>Condition</t>
  </si>
  <si>
    <t>Détails</t>
  </si>
  <si>
    <t>Minf</t>
  </si>
  <si>
    <t>Msup</t>
  </si>
  <si>
    <t>Mpost</t>
  </si>
  <si>
    <t>Mpied</t>
  </si>
  <si>
    <t>static01</t>
  </si>
  <si>
    <t>static02</t>
  </si>
  <si>
    <t>static03</t>
  </si>
  <si>
    <t>static04</t>
  </si>
  <si>
    <t>static05</t>
  </si>
  <si>
    <t>toutes conditions</t>
  </si>
  <si>
    <t>N-N-NNN-NN</t>
  </si>
  <si>
    <t>Reconstruction achevée</t>
  </si>
  <si>
    <t>Reconstruction à faire</t>
  </si>
  <si>
    <t>Pathologie</t>
  </si>
  <si>
    <t>D. de l'accident</t>
  </si>
  <si>
    <t>Type d'accident</t>
  </si>
  <si>
    <t>Côté affecté</t>
  </si>
  <si>
    <t>Traitement</t>
  </si>
  <si>
    <t>Divers</t>
  </si>
  <si>
    <t>Dév. Axe occipital</t>
  </si>
  <si>
    <t>Jambe droite (cm)</t>
  </si>
  <si>
    <t>Jambe gauche (cm)</t>
  </si>
  <si>
    <t>Supprimer le champ date si non applicable (NA)</t>
  </si>
  <si>
    <t>Paramètre</t>
  </si>
  <si>
    <t>Mvt complet, sélectif, sans CT</t>
  </si>
  <si>
    <r>
      <t xml:space="preserve">Au dessus ou au dessous de la courbe </t>
    </r>
    <r>
      <rPr>
        <i/>
        <sz val="8"/>
        <color theme="1"/>
        <rFont val="Calibri"/>
        <family val="2"/>
        <scheme val="minor"/>
      </rPr>
      <t>(suivant disponibilité)</t>
    </r>
  </si>
  <si>
    <r>
      <t xml:space="preserve">Au dessus ou au dessous de l'anomalie </t>
    </r>
    <r>
      <rPr>
        <i/>
        <sz val="8"/>
        <color theme="1"/>
        <rFont val="Calibri"/>
        <family val="2"/>
        <scheme val="minor"/>
      </rPr>
      <t>(suivant disponibilité)</t>
    </r>
  </si>
  <si>
    <t>Les pages qui suivent supportent l'évidence du compte-rendu fourni ci-dessus. Les sections Observations et Qualité contiennent des informations sur l'interprétation des données. Chaque déficit listé dans le compte-rendu est associé à un tableau reporté dans la section Evidence. Ce tableau apporte des éléments de preuve de l'importance de l'impact du déficit sur la marche. Les sections Examen et Comparaison complètent ce rapport et comportent l'examen clinique, les courbes issues de l'analyse quantifiée de la marche sur lesquelles les principales anomalies sont identifiées, pour l'examen présent et pour un jeu d'examens comparés, respectivement.</t>
  </si>
  <si>
    <t>Examen - Examen clinique                                                                                                1/2</t>
  </si>
  <si>
    <t>Examen - Examen clinique                                                                                                2/2</t>
  </si>
  <si>
    <t>Examen - Cinématique</t>
  </si>
  <si>
    <t>Examen - Cinétique</t>
  </si>
  <si>
    <t>Examen - Electromyographie</t>
  </si>
  <si>
    <t>Moissenet</t>
  </si>
  <si>
    <t>Florent</t>
  </si>
  <si>
    <t>test traitement 1</t>
  </si>
  <si>
    <t>test traitement 5</t>
  </si>
  <si>
    <t>Test fiche</t>
  </si>
  <si>
    <t>trial01</t>
  </si>
  <si>
    <t>trial02</t>
  </si>
  <si>
    <t>trial03</t>
  </si>
  <si>
    <t>trial04</t>
  </si>
  <si>
    <t>trial05</t>
  </si>
  <si>
    <t>trial06</t>
  </si>
  <si>
    <t>trial07</t>
  </si>
  <si>
    <t>trial08</t>
  </si>
  <si>
    <t>trial09</t>
  </si>
  <si>
    <t>trial10</t>
  </si>
  <si>
    <t>trial11</t>
  </si>
  <si>
    <t>trial12</t>
  </si>
  <si>
    <t>trial13</t>
  </si>
  <si>
    <t>trial14</t>
  </si>
  <si>
    <t>trial15</t>
  </si>
  <si>
    <t>trial16</t>
  </si>
  <si>
    <t>trial17</t>
  </si>
  <si>
    <t>trial18</t>
  </si>
  <si>
    <t>trial19</t>
  </si>
  <si>
    <t>trial20</t>
  </si>
  <si>
    <t>trial21</t>
  </si>
  <si>
    <t>trial22</t>
  </si>
  <si>
    <t>trial23</t>
  </si>
  <si>
    <t>trial24</t>
  </si>
  <si>
    <t>trial25</t>
  </si>
  <si>
    <t>trial26</t>
  </si>
  <si>
    <t>trial27</t>
  </si>
  <si>
    <t>trial28</t>
  </si>
  <si>
    <t>trial29</t>
  </si>
  <si>
    <t>trial30</t>
  </si>
  <si>
    <t>trial31</t>
  </si>
  <si>
    <t>trial32</t>
  </si>
  <si>
    <t>trial33</t>
  </si>
  <si>
    <t>trial34</t>
  </si>
  <si>
    <t>trial35</t>
  </si>
  <si>
    <t>trial36</t>
  </si>
  <si>
    <t>trial37</t>
  </si>
  <si>
    <t>trial38</t>
  </si>
  <si>
    <t>trial39</t>
  </si>
  <si>
    <t>trial40</t>
  </si>
  <si>
    <t>trial41</t>
  </si>
  <si>
    <t>trial42</t>
  </si>
  <si>
    <t>trial43</t>
  </si>
  <si>
    <t>trial44</t>
  </si>
  <si>
    <t>trial45</t>
  </si>
  <si>
    <t>trial46</t>
  </si>
  <si>
    <t>trial47</t>
  </si>
  <si>
    <t>trial48</t>
  </si>
  <si>
    <t>trial49</t>
  </si>
  <si>
    <t>trial50</t>
  </si>
  <si>
    <t>trial51</t>
  </si>
  <si>
    <t>trial52</t>
  </si>
  <si>
    <t>trial53</t>
  </si>
  <si>
    <t>trial54</t>
  </si>
  <si>
    <t>trial55</t>
  </si>
  <si>
    <t>X</t>
  </si>
  <si>
    <t>Aucun modèle</t>
  </si>
  <si>
    <t>Modèle complet</t>
  </si>
  <si>
    <t>Modèle simplifié</t>
  </si>
  <si>
    <t>R_tibialis_anterior</t>
  </si>
  <si>
    <t>R_soleus</t>
  </si>
  <si>
    <t>R_gastrocnemius_medialis</t>
  </si>
  <si>
    <t>R_vastus_medialis</t>
  </si>
  <si>
    <t>R_rectus_femoris</t>
  </si>
  <si>
    <t>R_semitendinosus</t>
  </si>
  <si>
    <t>R_gluteus_maximus</t>
  </si>
  <si>
    <t>R_gluteus_medius</t>
  </si>
  <si>
    <t>R_peroneus_longus</t>
  </si>
  <si>
    <t>R_semimembranosus</t>
  </si>
  <si>
    <t>R_adductors</t>
  </si>
  <si>
    <t>R_sternocleidomastoidius</t>
  </si>
  <si>
    <t>R_trapezius</t>
  </si>
  <si>
    <t>R_splenius_capitis</t>
  </si>
  <si>
    <t>R_leventor_scapulae</t>
  </si>
  <si>
    <t>R_ilio_psoas_wire</t>
  </si>
  <si>
    <t>R_tibialis_posterior_wire</t>
  </si>
  <si>
    <t>R_rectus_femoris_wire</t>
  </si>
  <si>
    <t>R_vastus_intermedius_wire</t>
  </si>
  <si>
    <t>R_vastus_medialis_wire</t>
  </si>
  <si>
    <t>R_vastus_lateralis_wire</t>
  </si>
  <si>
    <t>L_tibialis_anterior</t>
  </si>
  <si>
    <t>L_soleus</t>
  </si>
  <si>
    <t>L_gastrocnemius_medialis</t>
  </si>
  <si>
    <t>L_vastus_medialis</t>
  </si>
  <si>
    <t>L_rectus_femoris</t>
  </si>
  <si>
    <t>L_semitendinosus</t>
  </si>
  <si>
    <t>L_gluteus_maximus</t>
  </si>
  <si>
    <t>L_gluteus_medius</t>
  </si>
  <si>
    <t>L_peroneus_longus</t>
  </si>
  <si>
    <t>L_semimembranosus</t>
  </si>
  <si>
    <t>L_adductors</t>
  </si>
  <si>
    <t>L_sternocleidomastoidius</t>
  </si>
  <si>
    <t>L_trapezius</t>
  </si>
  <si>
    <t>L_splenius_capitis</t>
  </si>
  <si>
    <t>L_leventor_scapulae</t>
  </si>
  <si>
    <t>L_ilio_psoas_wire</t>
  </si>
  <si>
    <t>L_tibialis_posterior_wire</t>
  </si>
  <si>
    <t>L_rectus_femoris_wire</t>
  </si>
  <si>
    <t>L_vastus_intermedius_wire</t>
  </si>
  <si>
    <t>L_vastus_medialis_wire</t>
  </si>
  <si>
    <t>L_vastus_lateralis_wire</t>
  </si>
  <si>
    <t>static06</t>
  </si>
  <si>
    <t>static07</t>
  </si>
  <si>
    <t>static08</t>
  </si>
  <si>
    <t>static09</t>
  </si>
  <si>
    <t>static10</t>
  </si>
  <si>
    <t>Vidéo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</si>
</sst>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yy;@"/>
  </numFmts>
  <fonts count="37" x14ac:knownFonts="1">
    <font>
      <sz val="11"/>
      <color theme="1"/>
      <name val="Calibri"/>
      <family val="2"/>
      <scheme val="minor"/>
    </font>
    <font>
      <b/>
      <sz val="11"/>
      <color theme="1"/>
      <name val="Calibri"/>
      <family val="2"/>
      <scheme val="minor"/>
    </font>
    <font>
      <sz val="11"/>
      <color theme="1"/>
      <name val="Arial"/>
      <family val="2"/>
    </font>
    <font>
      <i/>
      <sz val="11"/>
      <color theme="1"/>
      <name val="Arial"/>
      <family val="2"/>
    </font>
    <font>
      <b/>
      <sz val="11"/>
      <color theme="1"/>
      <name val="Arial"/>
      <family val="2"/>
    </font>
    <font>
      <b/>
      <sz val="11"/>
      <name val="Arial"/>
      <family val="2"/>
    </font>
    <font>
      <sz val="11"/>
      <name val="Arial"/>
      <family val="2"/>
    </font>
    <font>
      <b/>
      <i/>
      <sz val="11"/>
      <color theme="1"/>
      <name val="Arial"/>
      <family val="2"/>
    </font>
    <font>
      <b/>
      <i/>
      <sz val="9"/>
      <color theme="0" tint="-0.34998626667073579"/>
      <name val="Arial"/>
      <family val="2"/>
    </font>
    <font>
      <i/>
      <sz val="9"/>
      <color theme="0" tint="-0.34998626667073579"/>
      <name val="Arial"/>
      <family val="2"/>
    </font>
    <font>
      <sz val="9"/>
      <color theme="1"/>
      <name val="Arial"/>
      <family val="2"/>
    </font>
    <font>
      <sz val="11"/>
      <color theme="1"/>
      <name val="Calibri"/>
      <family val="2"/>
    </font>
    <font>
      <i/>
      <sz val="8"/>
      <color theme="1"/>
      <name val="Arial"/>
      <family val="2"/>
    </font>
    <font>
      <i/>
      <sz val="8"/>
      <color theme="0" tint="-0.34998626667073579"/>
      <name val="Arial"/>
      <family val="2"/>
    </font>
    <font>
      <b/>
      <i/>
      <sz val="8"/>
      <color theme="0" tint="-0.34998626667073579"/>
      <name val="Arial"/>
      <family val="2"/>
    </font>
    <font>
      <sz val="11"/>
      <color rgb="FF0000C0"/>
      <name val="Arial"/>
      <family val="2"/>
    </font>
    <font>
      <sz val="11"/>
      <color rgb="FF0000C0"/>
      <name val="Calibri"/>
      <family val="2"/>
    </font>
    <font>
      <b/>
      <sz val="10"/>
      <color theme="1"/>
      <name val="Arial"/>
      <family val="2"/>
    </font>
    <font>
      <sz val="10"/>
      <color theme="1"/>
      <name val="Calibri"/>
      <family val="2"/>
      <scheme val="minor"/>
    </font>
    <font>
      <b/>
      <sz val="10"/>
      <color theme="1"/>
      <name val="Calibri"/>
      <family val="2"/>
      <scheme val="minor"/>
    </font>
    <font>
      <i/>
      <sz val="10"/>
      <color theme="1"/>
      <name val="Calibri"/>
      <family val="2"/>
      <scheme val="minor"/>
    </font>
    <font>
      <sz val="10"/>
      <name val="Arial"/>
      <family val="2"/>
    </font>
    <font>
      <b/>
      <sz val="8"/>
      <color rgb="FF000000"/>
      <name val="Calibri"/>
      <family val="2"/>
    </font>
    <font>
      <sz val="8"/>
      <name val="Calibri"/>
      <family val="2"/>
    </font>
    <font>
      <i/>
      <sz val="8"/>
      <name val="Calibri"/>
      <family val="2"/>
    </font>
    <font>
      <sz val="8"/>
      <color rgb="FF000000"/>
      <name val="Calibri"/>
      <family val="2"/>
    </font>
    <font>
      <b/>
      <sz val="8"/>
      <name val="Calibri"/>
      <family val="2"/>
    </font>
    <font>
      <b/>
      <i/>
      <sz val="8"/>
      <name val="Calibri"/>
      <family val="2"/>
    </font>
    <font>
      <b/>
      <sz val="8"/>
      <color theme="1"/>
      <name val="Calibri"/>
      <family val="2"/>
      <scheme val="minor"/>
    </font>
    <font>
      <sz val="8"/>
      <color theme="1"/>
      <name val="Calibri"/>
      <family val="2"/>
      <scheme val="minor"/>
    </font>
    <font>
      <b/>
      <i/>
      <sz val="11"/>
      <color theme="1"/>
      <name val="Calibri"/>
      <family val="2"/>
      <scheme val="minor"/>
    </font>
    <font>
      <sz val="9"/>
      <name val="Arial"/>
      <family val="2"/>
    </font>
    <font>
      <b/>
      <i/>
      <sz val="11"/>
      <color rgb="FF000000"/>
      <name val="Arial"/>
      <family val="2"/>
    </font>
    <font>
      <b/>
      <i/>
      <sz val="10"/>
      <color rgb="FF000000"/>
      <name val="Arial"/>
      <family val="2"/>
    </font>
    <font>
      <sz val="11"/>
      <color rgb="FF000000"/>
      <name val="Calibri"/>
      <family val="2"/>
    </font>
    <font>
      <i/>
      <sz val="8"/>
      <color theme="1"/>
      <name val="Calibri"/>
      <family val="2"/>
      <scheme val="minor"/>
    </font>
    <font>
      <i/>
      <sz val="9"/>
      <color theme="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BFBFBF"/>
        <bgColor rgb="FF000000"/>
      </patternFill>
    </fill>
    <fill>
      <patternFill patternType="solid">
        <fgColor rgb="FFFCD5B4"/>
        <bgColor rgb="FF000000"/>
      </patternFill>
    </fill>
    <fill>
      <patternFill patternType="solid">
        <fgColor rgb="FFCCC0DA"/>
        <bgColor rgb="FF000000"/>
      </patternFill>
    </fill>
    <fill>
      <patternFill patternType="solid">
        <fgColor rgb="FFD8E4BC"/>
        <bgColor rgb="FF000000"/>
      </patternFill>
    </fill>
    <fill>
      <patternFill patternType="solid">
        <fgColor rgb="FFB7DEE8"/>
        <bgColor rgb="FF000000"/>
      </patternFill>
    </fill>
    <fill>
      <patternFill patternType="solid">
        <fgColor rgb="FFF8AB6C"/>
        <bgColor rgb="FF000000"/>
      </patternFill>
    </fill>
    <fill>
      <patternFill patternType="solid">
        <fgColor rgb="FFF79646"/>
        <bgColor rgb="FF000000"/>
      </patternFill>
    </fill>
    <fill>
      <patternFill patternType="solid">
        <fgColor rgb="FFD9D9D9"/>
        <bgColor rgb="FF000000"/>
      </patternFill>
    </fill>
    <fill>
      <patternFill patternType="solid">
        <fgColor rgb="FF9BBB59"/>
        <bgColor rgb="FF000000"/>
      </patternFill>
    </fill>
  </fills>
  <borders count="7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top/>
      <bottom style="thin">
        <color indexed="64"/>
      </bottom>
      <diagonal/>
    </border>
    <border>
      <left/>
      <right/>
      <top/>
      <bottom style="thick">
        <color indexed="64"/>
      </bottom>
      <diagonal/>
    </border>
    <border>
      <left/>
      <right/>
      <top style="thick">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style="thin">
        <color indexed="64"/>
      </left>
      <right style="medium">
        <color indexed="64"/>
      </right>
      <top/>
      <bottom style="medium">
        <color indexed="64"/>
      </bottom>
      <diagonal/>
    </border>
    <border>
      <left style="thin">
        <color indexed="64"/>
      </left>
      <right/>
      <top style="medium">
        <color indexed="64"/>
      </top>
      <bottom/>
      <diagonal/>
    </border>
    <border>
      <left/>
      <right style="thin">
        <color indexed="64"/>
      </right>
      <top/>
      <bottom/>
      <diagonal/>
    </border>
  </borders>
  <cellStyleXfs count="2">
    <xf numFmtId="0" fontId="0" fillId="0" borderId="0"/>
    <xf numFmtId="0" fontId="21" fillId="0" borderId="0"/>
  </cellStyleXfs>
  <cellXfs count="458">
    <xf numFmtId="0" fontId="0" fillId="0" borderId="0" xfId="0"/>
    <xf numFmtId="0" fontId="2" fillId="0" borderId="0" xfId="0" applyFont="1"/>
    <xf numFmtId="0" fontId="2" fillId="0" borderId="0" xfId="0" applyFont="1" applyBorder="1"/>
    <xf numFmtId="0" fontId="1" fillId="0" borderId="0" xfId="0" applyFont="1"/>
    <xf numFmtId="0" fontId="4" fillId="0" borderId="1" xfId="0" applyFont="1" applyBorder="1" applyAlignment="1">
      <alignment horizontal="left" vertical="top"/>
    </xf>
    <xf numFmtId="0" fontId="2" fillId="0" borderId="1" xfId="0" applyFont="1" applyBorder="1"/>
    <xf numFmtId="0" fontId="8" fillId="0" borderId="0" xfId="0" applyFont="1"/>
    <xf numFmtId="0" fontId="9" fillId="0" borderId="0" xfId="0" applyFont="1"/>
    <xf numFmtId="0" fontId="5" fillId="0" borderId="1" xfId="0" applyFont="1" applyBorder="1" applyAlignment="1">
      <alignment horizontal="left" vertical="top" wrapText="1"/>
    </xf>
    <xf numFmtId="0" fontId="4" fillId="0" borderId="1" xfId="0" applyFont="1" applyBorder="1"/>
    <xf numFmtId="0" fontId="5" fillId="0" borderId="0" xfId="0" applyFont="1" applyFill="1" applyBorder="1"/>
    <xf numFmtId="0" fontId="6" fillId="0" borderId="0" xfId="0" applyFont="1" applyFill="1" applyBorder="1"/>
    <xf numFmtId="0" fontId="6" fillId="0" borderId="0" xfId="0" applyFont="1" applyFill="1" applyBorder="1" applyAlignment="1">
      <alignment horizontal="left" vertical="top"/>
    </xf>
    <xf numFmtId="0" fontId="14" fillId="0" borderId="0" xfId="0" applyFont="1"/>
    <xf numFmtId="0" fontId="4" fillId="0" borderId="0" xfId="0" applyFont="1"/>
    <xf numFmtId="0" fontId="2" fillId="0" borderId="0" xfId="0" applyFont="1" applyAlignment="1">
      <alignment vertical="center" textRotation="90" wrapText="1"/>
    </xf>
    <xf numFmtId="0" fontId="18" fillId="0" borderId="0" xfId="0" applyFont="1" applyBorder="1" applyAlignment="1">
      <alignment vertical="center" wrapText="1"/>
    </xf>
    <xf numFmtId="0" fontId="17" fillId="0" borderId="0" xfId="0" applyFont="1" applyAlignment="1" applyProtection="1">
      <alignment horizontal="center"/>
      <protection locked="0"/>
    </xf>
    <xf numFmtId="0" fontId="2" fillId="0" borderId="0" xfId="0" applyFont="1" applyAlignment="1" applyProtection="1">
      <alignment horizontal="center"/>
      <protection locked="0"/>
    </xf>
    <xf numFmtId="0" fontId="15" fillId="0" borderId="0" xfId="0" applyFont="1" applyAlignment="1" applyProtection="1">
      <alignment horizontal="center"/>
      <protection locked="0"/>
    </xf>
    <xf numFmtId="0" fontId="11" fillId="0" borderId="0" xfId="0" applyFont="1" applyAlignment="1" applyProtection="1">
      <alignment horizontal="center"/>
      <protection locked="0"/>
    </xf>
    <xf numFmtId="0" fontId="16" fillId="0" borderId="0" xfId="0" applyFont="1" applyAlignment="1" applyProtection="1">
      <alignment horizontal="center"/>
      <protection locked="0"/>
    </xf>
    <xf numFmtId="0" fontId="2" fillId="0" borderId="0" xfId="0" applyFont="1" applyProtection="1">
      <protection locked="0"/>
    </xf>
    <xf numFmtId="0" fontId="18" fillId="0" borderId="0" xfId="0" applyFont="1" applyBorder="1" applyAlignment="1">
      <alignment horizontal="center" vertical="center" wrapText="1"/>
    </xf>
    <xf numFmtId="0" fontId="18" fillId="0" borderId="0" xfId="0" applyFont="1" applyBorder="1" applyAlignment="1">
      <alignment horizontal="left" vertical="center" wrapText="1"/>
    </xf>
    <xf numFmtId="0" fontId="18" fillId="0" borderId="26" xfId="0" applyFont="1" applyBorder="1" applyAlignment="1">
      <alignment vertical="center" wrapText="1"/>
    </xf>
    <xf numFmtId="0" fontId="2" fillId="0" borderId="26" xfId="0" applyFont="1" applyBorder="1"/>
    <xf numFmtId="0" fontId="18" fillId="0" borderId="27" xfId="0" applyFont="1" applyBorder="1" applyAlignment="1">
      <alignment vertical="center" wrapText="1"/>
    </xf>
    <xf numFmtId="0" fontId="2" fillId="0" borderId="27" xfId="0" applyFont="1" applyBorder="1"/>
    <xf numFmtId="0" fontId="2" fillId="0" borderId="28" xfId="0" applyFont="1" applyBorder="1"/>
    <xf numFmtId="0" fontId="18" fillId="0" borderId="28" xfId="0" applyFont="1" applyBorder="1" applyAlignment="1">
      <alignment vertical="center" wrapText="1"/>
    </xf>
    <xf numFmtId="0" fontId="18" fillId="0" borderId="29" xfId="0" applyFont="1" applyBorder="1" applyAlignment="1">
      <alignment vertical="center" wrapText="1"/>
    </xf>
    <xf numFmtId="0" fontId="2" fillId="0" borderId="29" xfId="0" applyFont="1" applyBorder="1"/>
    <xf numFmtId="0" fontId="18" fillId="0" borderId="3" xfId="0" applyFont="1" applyBorder="1" applyAlignment="1">
      <alignment vertical="center" wrapText="1"/>
    </xf>
    <xf numFmtId="0" fontId="2" fillId="0" borderId="3" xfId="0" applyFont="1" applyBorder="1"/>
    <xf numFmtId="0" fontId="18" fillId="0" borderId="3" xfId="0" applyFont="1" applyBorder="1" applyAlignment="1">
      <alignment horizontal="center" vertical="center" wrapText="1"/>
    </xf>
    <xf numFmtId="0" fontId="20" fillId="0" borderId="0" xfId="0" applyFont="1" applyBorder="1" applyAlignment="1">
      <alignment horizontal="left" vertical="center" wrapText="1"/>
    </xf>
    <xf numFmtId="0" fontId="20" fillId="0" borderId="0" xfId="0" applyFont="1"/>
    <xf numFmtId="0" fontId="18" fillId="0" borderId="0" xfId="0" applyFont="1" applyBorder="1" applyAlignment="1">
      <alignment horizontal="center" vertical="top" wrapText="1"/>
    </xf>
    <xf numFmtId="0" fontId="20" fillId="0" borderId="0" xfId="0" applyFont="1" applyBorder="1" applyAlignment="1">
      <alignment horizontal="left" vertical="top" wrapText="1"/>
    </xf>
    <xf numFmtId="0" fontId="11" fillId="0" borderId="0" xfId="0" applyFont="1" applyFill="1" applyBorder="1"/>
    <xf numFmtId="0" fontId="22" fillId="6" borderId="34" xfId="0" applyFont="1" applyFill="1" applyBorder="1" applyAlignment="1">
      <alignment horizontal="center" vertical="center"/>
    </xf>
    <xf numFmtId="0" fontId="22" fillId="6" borderId="39" xfId="0" applyFont="1" applyFill="1" applyBorder="1" applyAlignment="1">
      <alignment horizontal="center" vertical="center"/>
    </xf>
    <xf numFmtId="0" fontId="22" fillId="6" borderId="42" xfId="0" applyFont="1" applyFill="1" applyBorder="1" applyAlignment="1">
      <alignment horizontal="center" vertical="center"/>
    </xf>
    <xf numFmtId="0" fontId="22" fillId="7" borderId="46" xfId="0" applyFont="1" applyFill="1" applyBorder="1" applyAlignment="1">
      <alignment horizontal="center" vertical="center"/>
    </xf>
    <xf numFmtId="0" fontId="22" fillId="8" borderId="34" xfId="0" applyFont="1" applyFill="1" applyBorder="1" applyAlignment="1">
      <alignment horizontal="center" vertical="center"/>
    </xf>
    <xf numFmtId="0" fontId="22" fillId="8" borderId="39" xfId="0" applyFont="1" applyFill="1" applyBorder="1" applyAlignment="1">
      <alignment horizontal="center" vertical="center"/>
    </xf>
    <xf numFmtId="0" fontId="22" fillId="8" borderId="42" xfId="0" applyFont="1" applyFill="1" applyBorder="1" applyAlignment="1">
      <alignment horizontal="center" vertical="center"/>
    </xf>
    <xf numFmtId="0" fontId="22" fillId="9" borderId="46" xfId="0" applyFont="1" applyFill="1" applyBorder="1" applyAlignment="1">
      <alignment horizontal="center" vertical="center"/>
    </xf>
    <xf numFmtId="0" fontId="11" fillId="0" borderId="0" xfId="0" applyFont="1" applyFill="1" applyBorder="1" applyAlignment="1">
      <alignment vertical="center"/>
    </xf>
    <xf numFmtId="0" fontId="22" fillId="8" borderId="52" xfId="0" applyFont="1" applyFill="1" applyBorder="1" applyAlignment="1">
      <alignment horizontal="center" vertical="center"/>
    </xf>
    <xf numFmtId="0" fontId="22" fillId="9" borderId="34" xfId="0" applyFont="1" applyFill="1" applyBorder="1" applyAlignment="1">
      <alignment horizontal="center" vertical="center"/>
    </xf>
    <xf numFmtId="0" fontId="22" fillId="9" borderId="42" xfId="0" applyFont="1" applyFill="1" applyBorder="1" applyAlignment="1">
      <alignment horizontal="center" vertical="center"/>
    </xf>
    <xf numFmtId="0" fontId="22" fillId="6" borderId="52" xfId="0" applyFont="1" applyFill="1" applyBorder="1" applyAlignment="1">
      <alignment horizontal="center" vertical="center"/>
    </xf>
    <xf numFmtId="0" fontId="22" fillId="7" borderId="57" xfId="0" applyFont="1" applyFill="1" applyBorder="1" applyAlignment="1">
      <alignment horizontal="center" vertical="center"/>
    </xf>
    <xf numFmtId="0" fontId="22" fillId="9" borderId="35" xfId="0" applyFont="1" applyFill="1" applyBorder="1" applyAlignment="1">
      <alignment horizontal="center" vertical="center"/>
    </xf>
    <xf numFmtId="0" fontId="22" fillId="9" borderId="40" xfId="0" applyFont="1" applyFill="1" applyBorder="1" applyAlignment="1">
      <alignment horizontal="center" vertical="center"/>
    </xf>
    <xf numFmtId="0" fontId="22" fillId="9" borderId="43" xfId="0" applyFont="1" applyFill="1" applyBorder="1" applyAlignment="1">
      <alignment horizontal="center" vertical="center"/>
    </xf>
    <xf numFmtId="0" fontId="22" fillId="0" borderId="0" xfId="0" applyFont="1" applyFill="1" applyBorder="1" applyAlignment="1">
      <alignment vertical="center" textRotation="90"/>
    </xf>
    <xf numFmtId="0" fontId="22" fillId="7" borderId="34" xfId="0" applyFont="1" applyFill="1" applyBorder="1" applyAlignment="1">
      <alignment horizontal="center" vertical="center"/>
    </xf>
    <xf numFmtId="0" fontId="22" fillId="7" borderId="39" xfId="0" applyFont="1" applyFill="1" applyBorder="1" applyAlignment="1">
      <alignment horizontal="center" vertical="center"/>
    </xf>
    <xf numFmtId="0" fontId="22" fillId="7" borderId="52" xfId="0" applyFont="1" applyFill="1" applyBorder="1" applyAlignment="1">
      <alignment horizontal="center" vertical="center"/>
    </xf>
    <xf numFmtId="0" fontId="25" fillId="0" borderId="13" xfId="0" applyFont="1" applyFill="1" applyBorder="1" applyAlignment="1" applyProtection="1">
      <protection locked="0"/>
    </xf>
    <xf numFmtId="0" fontId="25" fillId="0" borderId="14" xfId="0" applyFont="1" applyFill="1" applyBorder="1" applyAlignment="1" applyProtection="1">
      <protection locked="0"/>
    </xf>
    <xf numFmtId="0" fontId="25" fillId="0" borderId="15" xfId="0" applyFont="1" applyFill="1" applyBorder="1" applyAlignment="1" applyProtection="1">
      <protection locked="0"/>
    </xf>
    <xf numFmtId="0" fontId="25" fillId="0" borderId="17" xfId="0" applyFont="1" applyFill="1" applyBorder="1" applyAlignment="1" applyProtection="1">
      <protection locked="0"/>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5" fillId="0" borderId="49" xfId="0" applyFont="1" applyFill="1" applyBorder="1" applyAlignment="1" applyProtection="1">
      <alignment horizontal="center"/>
      <protection locked="0"/>
    </xf>
    <xf numFmtId="0" fontId="25" fillId="0" borderId="51" xfId="0" applyFont="1" applyFill="1" applyBorder="1" applyAlignment="1" applyProtection="1">
      <alignment horizontal="center"/>
      <protection locked="0"/>
    </xf>
    <xf numFmtId="0" fontId="25" fillId="0" borderId="58" xfId="0" applyFont="1" applyFill="1" applyBorder="1" applyAlignment="1" applyProtection="1">
      <alignment horizontal="center"/>
      <protection locked="0"/>
    </xf>
    <xf numFmtId="0" fontId="25" fillId="0" borderId="4" xfId="0" applyFont="1" applyFill="1" applyBorder="1" applyAlignment="1" applyProtection="1">
      <alignment horizontal="center"/>
      <protection locked="0"/>
    </xf>
    <xf numFmtId="0" fontId="25" fillId="0" borderId="59"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5" fillId="0" borderId="53" xfId="0" applyFont="1" applyFill="1" applyBorder="1" applyAlignment="1" applyProtection="1">
      <alignment horizontal="center"/>
      <protection locked="0"/>
    </xf>
    <xf numFmtId="0" fontId="25" fillId="0" borderId="53" xfId="0" applyFont="1" applyFill="1" applyBorder="1" applyAlignment="1" applyProtection="1">
      <protection locked="0"/>
    </xf>
    <xf numFmtId="0" fontId="25" fillId="0" borderId="54" xfId="0" applyFont="1" applyFill="1" applyBorder="1" applyAlignment="1" applyProtection="1">
      <protection locked="0"/>
    </xf>
    <xf numFmtId="0" fontId="22" fillId="10" borderId="39" xfId="0" applyFont="1" applyFill="1" applyBorder="1" applyAlignment="1">
      <alignment horizontal="center" vertical="center"/>
    </xf>
    <xf numFmtId="0" fontId="22" fillId="9" borderId="39" xfId="0" applyFont="1" applyFill="1" applyBorder="1" applyAlignment="1">
      <alignment horizontal="center" vertical="center"/>
    </xf>
    <xf numFmtId="0" fontId="22" fillId="5" borderId="57" xfId="0" applyFont="1" applyFill="1" applyBorder="1" applyAlignment="1">
      <alignment horizontal="center" vertical="center" textRotation="90"/>
    </xf>
    <xf numFmtId="0" fontId="22" fillId="6" borderId="57" xfId="0" applyFont="1" applyFill="1" applyBorder="1" applyAlignment="1">
      <alignment horizontal="center" vertical="center"/>
    </xf>
    <xf numFmtId="0" fontId="22" fillId="7" borderId="42" xfId="0" applyFont="1" applyFill="1" applyBorder="1" applyAlignment="1">
      <alignment horizontal="center" vertical="center"/>
    </xf>
    <xf numFmtId="0" fontId="28" fillId="0" borderId="0" xfId="0" applyFont="1"/>
    <xf numFmtId="0" fontId="28" fillId="0" borderId="30" xfId="0" applyFont="1" applyBorder="1"/>
    <xf numFmtId="0" fontId="28" fillId="0" borderId="31" xfId="0" applyFont="1" applyBorder="1"/>
    <xf numFmtId="0" fontId="28" fillId="0" borderId="64" xfId="0" applyFont="1" applyBorder="1" applyAlignment="1">
      <alignment horizontal="center"/>
    </xf>
    <xf numFmtId="0" fontId="28" fillId="0" borderId="32" xfId="0" applyFont="1" applyBorder="1" applyAlignment="1">
      <alignment horizontal="center"/>
    </xf>
    <xf numFmtId="0" fontId="30" fillId="0" borderId="0" xfId="0" applyFont="1"/>
    <xf numFmtId="0" fontId="0" fillId="0" borderId="0" xfId="0" quotePrefix="1"/>
    <xf numFmtId="0" fontId="29" fillId="0" borderId="1" xfId="0" applyFont="1" applyBorder="1" applyAlignment="1">
      <alignment horizontal="left"/>
    </xf>
    <xf numFmtId="0" fontId="29" fillId="0" borderId="4" xfId="0" applyFont="1" applyBorder="1"/>
    <xf numFmtId="0" fontId="29" fillId="0" borderId="58" xfId="0" applyFont="1" applyBorder="1" applyAlignment="1"/>
    <xf numFmtId="0" fontId="29" fillId="0" borderId="62" xfId="0" applyFont="1" applyBorder="1" applyAlignment="1"/>
    <xf numFmtId="0" fontId="5" fillId="0" borderId="66" xfId="0" applyFont="1" applyBorder="1" applyProtection="1"/>
    <xf numFmtId="0" fontId="5" fillId="0" borderId="40" xfId="0" applyFont="1" applyBorder="1" applyProtection="1"/>
    <xf numFmtId="0" fontId="5" fillId="0" borderId="43" xfId="0" applyFont="1" applyBorder="1" applyProtection="1"/>
    <xf numFmtId="0" fontId="2" fillId="0" borderId="0" xfId="0" applyFont="1" applyProtection="1"/>
    <xf numFmtId="0" fontId="4" fillId="0" borderId="8" xfId="0" applyFont="1" applyBorder="1" applyProtection="1"/>
    <xf numFmtId="0" fontId="4" fillId="0" borderId="13" xfId="0" applyFont="1" applyBorder="1" applyProtection="1"/>
    <xf numFmtId="0" fontId="4" fillId="0" borderId="15" xfId="0" applyFont="1" applyBorder="1" applyAlignment="1" applyProtection="1">
      <alignment horizontal="left" vertical="top" wrapText="1"/>
    </xf>
    <xf numFmtId="0" fontId="7" fillId="2" borderId="1" xfId="0" applyFont="1" applyFill="1" applyBorder="1" applyAlignment="1" applyProtection="1">
      <alignment horizontal="center" vertical="top"/>
    </xf>
    <xf numFmtId="0" fontId="2" fillId="0" borderId="1" xfId="0" applyFont="1" applyBorder="1" applyAlignment="1" applyProtection="1">
      <alignment horizontal="center" vertical="top"/>
    </xf>
    <xf numFmtId="0" fontId="4" fillId="0" borderId="1" xfId="0" applyFont="1" applyBorder="1" applyAlignment="1" applyProtection="1">
      <alignment vertical="top" wrapText="1"/>
    </xf>
    <xf numFmtId="0" fontId="25" fillId="0" borderId="21" xfId="0" applyFont="1" applyFill="1" applyBorder="1" applyAlignment="1" applyProtection="1">
      <alignment horizontal="center"/>
      <protection locked="0"/>
    </xf>
    <xf numFmtId="0" fontId="25" fillId="0" borderId="22" xfId="0" applyFont="1" applyFill="1" applyBorder="1" applyAlignment="1" applyProtection="1">
      <alignment horizontal="center"/>
      <protection locked="0"/>
    </xf>
    <xf numFmtId="0" fontId="29" fillId="0" borderId="9" xfId="0" applyFont="1" applyBorder="1" applyAlignment="1" applyProtection="1">
      <alignment horizontal="center"/>
      <protection locked="0"/>
    </xf>
    <xf numFmtId="0" fontId="29" fillId="0" borderId="10" xfId="0" applyFont="1" applyBorder="1" applyAlignment="1" applyProtection="1">
      <alignment horizontal="center"/>
      <protection locked="0"/>
    </xf>
    <xf numFmtId="0" fontId="29" fillId="0" borderId="17" xfId="0" applyFont="1" applyBorder="1" applyAlignment="1" applyProtection="1">
      <alignment horizontal="center"/>
      <protection locked="0"/>
    </xf>
    <xf numFmtId="0" fontId="29" fillId="0" borderId="16" xfId="0" applyFont="1" applyBorder="1" applyAlignment="1" applyProtection="1">
      <alignment horizontal="center"/>
      <protection locked="0"/>
    </xf>
    <xf numFmtId="0" fontId="29" fillId="0" borderId="10" xfId="0" applyFont="1" applyBorder="1" applyProtection="1">
      <protection locked="0"/>
    </xf>
    <xf numFmtId="0" fontId="29" fillId="0" borderId="14" xfId="0" applyFont="1" applyBorder="1" applyProtection="1">
      <protection locked="0"/>
    </xf>
    <xf numFmtId="0" fontId="29" fillId="0" borderId="17" xfId="0" applyFont="1" applyBorder="1" applyProtection="1">
      <protection locked="0"/>
    </xf>
    <xf numFmtId="0" fontId="20" fillId="0" borderId="0" xfId="0" applyFont="1" applyBorder="1" applyAlignment="1">
      <alignment horizontal="left" vertical="center" wrapText="1"/>
    </xf>
    <xf numFmtId="0" fontId="36" fillId="0" borderId="3" xfId="0" applyFont="1" applyBorder="1" applyAlignment="1">
      <alignment horizontal="left" vertical="center" wrapText="1"/>
    </xf>
    <xf numFmtId="0" fontId="20" fillId="0" borderId="3" xfId="0" applyFont="1" applyBorder="1" applyAlignment="1">
      <alignment vertical="center" wrapText="1"/>
    </xf>
    <xf numFmtId="0" fontId="20" fillId="0" borderId="0" xfId="0" applyFont="1" applyBorder="1" applyAlignment="1">
      <alignment vertical="center" wrapText="1"/>
    </xf>
    <xf numFmtId="0" fontId="20" fillId="0" borderId="28" xfId="0" applyFont="1" applyBorder="1" applyAlignment="1">
      <alignment vertical="center" wrapText="1"/>
    </xf>
    <xf numFmtId="0" fontId="6" fillId="3" borderId="9" xfId="0" applyFont="1" applyFill="1" applyBorder="1" applyAlignment="1" applyProtection="1">
      <alignment vertical="top" wrapText="1"/>
      <protection locked="0"/>
    </xf>
    <xf numFmtId="0" fontId="6" fillId="3" borderId="9" xfId="0" applyFont="1" applyFill="1" applyBorder="1" applyAlignment="1" applyProtection="1">
      <alignment horizontal="left" vertical="top" wrapText="1"/>
      <protection locked="0"/>
    </xf>
    <xf numFmtId="0" fontId="6" fillId="3" borderId="10" xfId="0" applyFont="1" applyFill="1" applyBorder="1" applyAlignment="1" applyProtection="1">
      <alignment horizontal="left" vertical="top" wrapText="1"/>
      <protection locked="0"/>
    </xf>
    <xf numFmtId="0" fontId="5" fillId="0" borderId="0" xfId="0" applyFont="1" applyFill="1" applyBorder="1" applyProtection="1"/>
    <xf numFmtId="0" fontId="6" fillId="0" borderId="0" xfId="0" applyFont="1" applyFill="1" applyBorder="1" applyProtection="1"/>
    <xf numFmtId="0" fontId="6" fillId="0" borderId="0" xfId="0" applyFont="1" applyFill="1" applyBorder="1" applyAlignment="1" applyProtection="1">
      <alignment horizontal="left" vertical="top"/>
    </xf>
    <xf numFmtId="0" fontId="5" fillId="3" borderId="8" xfId="0" applyFont="1" applyFill="1" applyBorder="1" applyAlignment="1" applyProtection="1">
      <alignment vertical="top" wrapText="1"/>
    </xf>
    <xf numFmtId="0" fontId="5" fillId="3" borderId="9" xfId="0" applyFont="1" applyFill="1" applyBorder="1" applyAlignment="1" applyProtection="1">
      <alignment vertical="top" wrapText="1"/>
    </xf>
    <xf numFmtId="0" fontId="2" fillId="0" borderId="11" xfId="0" applyFont="1" applyBorder="1" applyProtection="1"/>
    <xf numFmtId="0" fontId="2" fillId="0" borderId="0" xfId="0" applyFont="1" applyBorder="1" applyProtection="1"/>
    <xf numFmtId="0" fontId="2" fillId="0" borderId="12" xfId="0" applyFont="1" applyBorder="1" applyProtection="1"/>
    <xf numFmtId="0" fontId="3" fillId="2" borderId="13" xfId="0" applyFont="1" applyFill="1" applyBorder="1" applyProtection="1"/>
    <xf numFmtId="0" fontId="3" fillId="2" borderId="1" xfId="0" applyFont="1" applyFill="1" applyBorder="1" applyAlignment="1" applyProtection="1">
      <alignment vertical="top"/>
    </xf>
    <xf numFmtId="0" fontId="3" fillId="2" borderId="1" xfId="0" applyFont="1" applyFill="1" applyBorder="1" applyAlignment="1" applyProtection="1">
      <alignment horizontal="center" vertical="top"/>
    </xf>
    <xf numFmtId="0" fontId="3" fillId="2" borderId="13" xfId="0" applyFont="1" applyFill="1" applyBorder="1" applyAlignment="1" applyProtection="1">
      <alignment vertical="top"/>
    </xf>
    <xf numFmtId="0" fontId="2" fillId="0" borderId="23" xfId="0" applyFont="1" applyBorder="1" applyProtection="1"/>
    <xf numFmtId="0" fontId="2" fillId="0" borderId="24" xfId="0" applyFont="1" applyBorder="1" applyProtection="1"/>
    <xf numFmtId="0" fontId="2" fillId="0" borderId="25" xfId="0" applyFont="1" applyBorder="1" applyProtection="1"/>
    <xf numFmtId="0" fontId="2" fillId="0" borderId="13" xfId="0" applyFont="1" applyBorder="1" applyProtection="1">
      <protection locked="0"/>
    </xf>
    <xf numFmtId="0" fontId="2" fillId="0" borderId="13" xfId="0" applyFont="1" applyBorder="1" applyAlignment="1" applyProtection="1">
      <alignment vertical="top"/>
      <protection locked="0"/>
    </xf>
    <xf numFmtId="0" fontId="2" fillId="0" borderId="1" xfId="0" applyFont="1" applyBorder="1" applyAlignment="1" applyProtection="1">
      <alignment vertical="top"/>
      <protection locked="0"/>
    </xf>
    <xf numFmtId="0" fontId="2" fillId="0" borderId="1" xfId="0" applyFont="1" applyBorder="1" applyAlignment="1" applyProtection="1">
      <alignment horizontal="center" vertical="top" wrapText="1"/>
      <protection locked="0"/>
    </xf>
    <xf numFmtId="0" fontId="6" fillId="0" borderId="13" xfId="0" applyFont="1" applyBorder="1" applyProtection="1">
      <protection locked="0"/>
    </xf>
    <xf numFmtId="0" fontId="6" fillId="0" borderId="13" xfId="0" applyFont="1" applyBorder="1" applyAlignment="1" applyProtection="1">
      <alignment vertical="top"/>
      <protection locked="0"/>
    </xf>
    <xf numFmtId="0" fontId="5" fillId="0" borderId="8" xfId="0" applyFont="1" applyBorder="1" applyProtection="1"/>
    <xf numFmtId="0" fontId="5" fillId="0" borderId="13" xfId="0" applyFont="1" applyBorder="1" applyProtection="1"/>
    <xf numFmtId="0" fontId="5" fillId="0" borderId="53" xfId="0" applyFont="1" applyBorder="1" applyProtection="1"/>
    <xf numFmtId="0" fontId="5" fillId="0" borderId="15" xfId="0" applyFont="1" applyBorder="1" applyProtection="1"/>
    <xf numFmtId="0" fontId="4" fillId="0" borderId="15" xfId="0" applyFont="1" applyBorder="1" applyProtection="1"/>
    <xf numFmtId="0" fontId="4" fillId="0" borderId="0" xfId="0" applyFont="1" applyBorder="1" applyProtection="1"/>
    <xf numFmtId="0" fontId="2" fillId="0" borderId="0" xfId="0" applyFont="1" applyBorder="1" applyAlignment="1" applyProtection="1">
      <alignment horizontal="left"/>
    </xf>
    <xf numFmtId="0" fontId="4" fillId="0" borderId="6" xfId="0" applyFont="1" applyBorder="1" applyAlignment="1" applyProtection="1"/>
    <xf numFmtId="0" fontId="4" fillId="0" borderId="6" xfId="0" applyFont="1" applyBorder="1" applyAlignment="1" applyProtection="1">
      <alignment horizontal="left"/>
    </xf>
    <xf numFmtId="0" fontId="4" fillId="0" borderId="1" xfId="0" applyFont="1" applyBorder="1" applyProtection="1"/>
    <xf numFmtId="0" fontId="4" fillId="0" borderId="1" xfId="0" applyFont="1" applyBorder="1" applyAlignment="1" applyProtection="1">
      <alignment horizontal="left"/>
    </xf>
    <xf numFmtId="0" fontId="4" fillId="0" borderId="1" xfId="0" applyFont="1" applyBorder="1" applyAlignment="1" applyProtection="1"/>
    <xf numFmtId="0" fontId="4" fillId="0" borderId="16" xfId="0" applyFont="1" applyBorder="1" applyProtection="1"/>
    <xf numFmtId="0" fontId="4" fillId="0" borderId="16" xfId="0" applyFont="1" applyBorder="1" applyAlignment="1" applyProtection="1">
      <alignment horizontal="left"/>
    </xf>
    <xf numFmtId="0" fontId="32" fillId="0" borderId="6" xfId="0" applyFont="1" applyFill="1" applyBorder="1" applyAlignment="1" applyProtection="1">
      <alignment horizontal="center"/>
    </xf>
    <xf numFmtId="0" fontId="32" fillId="0" borderId="1" xfId="0" applyFont="1" applyFill="1" applyBorder="1" applyAlignment="1" applyProtection="1">
      <alignment horizontal="center"/>
    </xf>
    <xf numFmtId="0" fontId="32" fillId="0" borderId="4" xfId="0" applyFont="1" applyFill="1" applyBorder="1" applyAlignment="1" applyProtection="1">
      <alignment horizontal="center"/>
    </xf>
    <xf numFmtId="0" fontId="33" fillId="0" borderId="6" xfId="0" applyFont="1" applyFill="1" applyBorder="1" applyAlignment="1" applyProtection="1">
      <alignment horizontal="center"/>
    </xf>
    <xf numFmtId="0" fontId="2" fillId="0" borderId="2" xfId="0" applyFont="1" applyFill="1" applyBorder="1" applyProtection="1"/>
    <xf numFmtId="0" fontId="11" fillId="0" borderId="4" xfId="0" applyFont="1" applyFill="1" applyBorder="1" applyProtection="1"/>
    <xf numFmtId="0" fontId="2" fillId="0" borderId="6" xfId="0" applyFont="1" applyBorder="1" applyProtection="1">
      <protection locked="0"/>
    </xf>
    <xf numFmtId="0" fontId="2" fillId="0" borderId="6" xfId="0" applyFont="1" applyBorder="1" applyAlignment="1" applyProtection="1">
      <alignment horizontal="right"/>
      <protection locked="0"/>
    </xf>
    <xf numFmtId="0" fontId="2" fillId="0" borderId="1" xfId="0" applyFont="1" applyBorder="1" applyProtection="1">
      <protection locked="0"/>
    </xf>
    <xf numFmtId="0" fontId="2" fillId="0" borderId="1" xfId="0" applyFont="1" applyBorder="1" applyAlignment="1" applyProtection="1">
      <alignment horizontal="right"/>
      <protection locked="0"/>
    </xf>
    <xf numFmtId="0" fontId="2" fillId="0" borderId="16" xfId="0" applyFont="1" applyBorder="1" applyProtection="1">
      <protection locked="0"/>
    </xf>
    <xf numFmtId="0" fontId="2" fillId="0" borderId="16" xfId="0" applyFont="1" applyBorder="1" applyAlignment="1" applyProtection="1">
      <alignment horizontal="right"/>
      <protection locked="0"/>
    </xf>
    <xf numFmtId="0" fontId="2" fillId="11" borderId="1" xfId="0" applyFont="1" applyFill="1" applyBorder="1" applyAlignment="1" applyProtection="1">
      <alignment horizontal="center"/>
      <protection locked="0"/>
    </xf>
    <xf numFmtId="0" fontId="2" fillId="12" borderId="1" xfId="0" applyFont="1" applyFill="1" applyBorder="1" applyAlignment="1" applyProtection="1">
      <alignment horizontal="center"/>
      <protection locked="0"/>
    </xf>
    <xf numFmtId="0" fontId="2" fillId="0" borderId="1" xfId="0" applyFont="1" applyFill="1" applyBorder="1" applyAlignment="1" applyProtection="1">
      <alignment horizontal="center"/>
      <protection locked="0"/>
    </xf>
    <xf numFmtId="0" fontId="2" fillId="0" borderId="4" xfId="0" applyFont="1" applyFill="1" applyBorder="1" applyAlignment="1" applyProtection="1">
      <alignment horizontal="center"/>
      <protection locked="0"/>
    </xf>
    <xf numFmtId="0" fontId="6" fillId="0" borderId="1" xfId="0" applyFont="1" applyFill="1" applyBorder="1" applyAlignment="1" applyProtection="1">
      <alignment horizontal="center"/>
      <protection locked="0"/>
    </xf>
    <xf numFmtId="0" fontId="2" fillId="13" borderId="1" xfId="0" applyFont="1" applyFill="1" applyBorder="1" applyAlignment="1" applyProtection="1">
      <alignment horizontal="center"/>
      <protection locked="0"/>
    </xf>
    <xf numFmtId="14" fontId="2" fillId="0" borderId="1" xfId="0" applyNumberFormat="1" applyFont="1" applyBorder="1" applyAlignment="1" applyProtection="1">
      <alignment vertical="top" wrapText="1"/>
    </xf>
    <xf numFmtId="0" fontId="4" fillId="0" borderId="16" xfId="0" applyFont="1" applyBorder="1" applyAlignment="1" applyProtection="1">
      <alignment horizontal="center"/>
    </xf>
    <xf numFmtId="14" fontId="2" fillId="0" borderId="9" xfId="0" applyNumberFormat="1" applyFont="1" applyBorder="1" applyAlignment="1" applyProtection="1">
      <alignment horizontal="left"/>
      <protection locked="0"/>
    </xf>
    <xf numFmtId="14" fontId="2" fillId="0" borderId="10" xfId="0" applyNumberFormat="1" applyFont="1" applyBorder="1" applyAlignment="1" applyProtection="1">
      <alignment horizontal="left"/>
      <protection locked="0"/>
    </xf>
    <xf numFmtId="14" fontId="2" fillId="0" borderId="1" xfId="0" applyNumberFormat="1" applyFont="1" applyBorder="1" applyAlignment="1" applyProtection="1">
      <alignment horizontal="left"/>
      <protection locked="0"/>
    </xf>
    <xf numFmtId="14" fontId="2" fillId="0" borderId="14" xfId="0" applyNumberFormat="1" applyFont="1" applyBorder="1" applyAlignment="1" applyProtection="1">
      <alignment horizontal="left"/>
      <protection locked="0"/>
    </xf>
    <xf numFmtId="14" fontId="2" fillId="0" borderId="16" xfId="0" applyNumberFormat="1" applyFont="1" applyBorder="1" applyAlignment="1" applyProtection="1">
      <alignment horizontal="left"/>
      <protection locked="0"/>
    </xf>
    <xf numFmtId="14" fontId="2" fillId="0" borderId="17" xfId="0" applyNumberFormat="1" applyFont="1" applyBorder="1" applyAlignment="1" applyProtection="1">
      <alignment horizontal="left"/>
      <protection locked="0"/>
    </xf>
    <xf numFmtId="0" fontId="4" fillId="0" borderId="1" xfId="0" applyFont="1" applyBorder="1" applyAlignment="1" applyProtection="1">
      <alignment horizontal="center"/>
    </xf>
    <xf numFmtId="0" fontId="4" fillId="0" borderId="9" xfId="0" applyFont="1" applyBorder="1" applyAlignment="1" applyProtection="1">
      <alignment horizontal="center"/>
    </xf>
    <xf numFmtId="0" fontId="2" fillId="0" borderId="9" xfId="0" applyFont="1" applyBorder="1" applyAlignment="1" applyProtection="1">
      <alignment horizontal="left" vertical="top"/>
      <protection locked="0"/>
    </xf>
    <xf numFmtId="0" fontId="2" fillId="0" borderId="1" xfId="0" applyFont="1" applyBorder="1" applyAlignment="1" applyProtection="1">
      <alignment horizontal="left" vertical="top"/>
      <protection locked="0"/>
    </xf>
    <xf numFmtId="0" fontId="4" fillId="0" borderId="13" xfId="0" applyFont="1" applyBorder="1" applyAlignment="1" applyProtection="1">
      <alignment horizontal="left" vertical="top"/>
    </xf>
    <xf numFmtId="0" fontId="4" fillId="0" borderId="1" xfId="0" applyFont="1" applyBorder="1" applyAlignment="1" applyProtection="1">
      <alignment horizontal="left" vertical="top"/>
    </xf>
    <xf numFmtId="0" fontId="4" fillId="0" borderId="15" xfId="0" applyFont="1" applyBorder="1" applyAlignment="1" applyProtection="1">
      <alignment horizontal="left" vertical="top"/>
    </xf>
    <xf numFmtId="0" fontId="4" fillId="0" borderId="16" xfId="0" applyFont="1" applyBorder="1" applyAlignment="1" applyProtection="1">
      <alignment horizontal="left" vertical="top"/>
    </xf>
    <xf numFmtId="0" fontId="2" fillId="3" borderId="1" xfId="0" applyFont="1" applyFill="1" applyBorder="1" applyAlignment="1" applyProtection="1">
      <alignment horizontal="left" vertical="top"/>
    </xf>
    <xf numFmtId="0" fontId="2" fillId="3" borderId="14" xfId="0" applyFont="1" applyFill="1" applyBorder="1" applyAlignment="1" applyProtection="1">
      <alignment horizontal="left" vertical="top"/>
    </xf>
    <xf numFmtId="0" fontId="2" fillId="3" borderId="16" xfId="0" applyFont="1" applyFill="1" applyBorder="1" applyAlignment="1" applyProtection="1">
      <alignment horizontal="left" vertical="top"/>
    </xf>
    <xf numFmtId="0" fontId="2" fillId="3" borderId="17" xfId="0" applyFont="1" applyFill="1" applyBorder="1" applyAlignment="1" applyProtection="1">
      <alignment horizontal="left" vertical="top"/>
    </xf>
    <xf numFmtId="0" fontId="5" fillId="4" borderId="18" xfId="0" applyFont="1" applyFill="1" applyBorder="1" applyAlignment="1" applyProtection="1">
      <alignment horizontal="left" vertical="top"/>
    </xf>
    <xf numFmtId="0" fontId="5" fillId="4" borderId="19" xfId="0" applyFont="1" applyFill="1" applyBorder="1" applyAlignment="1" applyProtection="1">
      <alignment horizontal="left" vertical="top"/>
    </xf>
    <xf numFmtId="0" fontId="5" fillId="4" borderId="20" xfId="0" applyFont="1" applyFill="1" applyBorder="1" applyAlignment="1" applyProtection="1">
      <alignment horizontal="left" vertical="top"/>
    </xf>
    <xf numFmtId="0" fontId="5" fillId="4" borderId="30" xfId="0" applyFont="1" applyFill="1" applyBorder="1" applyAlignment="1" applyProtection="1">
      <alignment horizontal="left" vertical="top"/>
    </xf>
    <xf numFmtId="0" fontId="5" fillId="4" borderId="31" xfId="0" applyFont="1" applyFill="1" applyBorder="1" applyAlignment="1" applyProtection="1">
      <alignment horizontal="left" vertical="top"/>
    </xf>
    <xf numFmtId="0" fontId="5" fillId="4" borderId="32" xfId="0" applyFont="1" applyFill="1" applyBorder="1" applyAlignment="1" applyProtection="1">
      <alignment horizontal="left" vertical="top"/>
    </xf>
    <xf numFmtId="0" fontId="2" fillId="0" borderId="10" xfId="0" applyFont="1" applyBorder="1" applyAlignment="1" applyProtection="1">
      <alignment horizontal="left" vertical="top"/>
      <protection locked="0"/>
    </xf>
    <xf numFmtId="0" fontId="2" fillId="0" borderId="14" xfId="0" applyFont="1" applyBorder="1" applyAlignment="1" applyProtection="1">
      <alignment horizontal="left" vertical="top"/>
      <protection locked="0"/>
    </xf>
    <xf numFmtId="14" fontId="2" fillId="0" borderId="1" xfId="0" applyNumberFormat="1" applyFont="1" applyBorder="1" applyAlignment="1" applyProtection="1">
      <alignment horizontal="left" vertical="top"/>
      <protection locked="0"/>
    </xf>
    <xf numFmtId="14" fontId="2" fillId="0" borderId="14" xfId="0" applyNumberFormat="1" applyFont="1" applyBorder="1" applyAlignment="1" applyProtection="1">
      <alignment horizontal="left" vertical="top"/>
      <protection locked="0"/>
    </xf>
    <xf numFmtId="0" fontId="4" fillId="0" borderId="1" xfId="0" applyFont="1" applyBorder="1" applyAlignment="1" applyProtection="1">
      <alignment horizontal="left"/>
    </xf>
    <xf numFmtId="0" fontId="4" fillId="0" borderId="8" xfId="0" applyFont="1" applyBorder="1" applyAlignment="1" applyProtection="1">
      <alignment horizontal="left"/>
    </xf>
    <xf numFmtId="0" fontId="4" fillId="0" borderId="9" xfId="0" applyFont="1" applyBorder="1" applyAlignment="1" applyProtection="1">
      <alignment horizontal="left"/>
    </xf>
    <xf numFmtId="0" fontId="2" fillId="0" borderId="9" xfId="0" applyFont="1" applyBorder="1" applyAlignment="1" applyProtection="1">
      <alignment horizontal="left"/>
      <protection locked="0"/>
    </xf>
    <xf numFmtId="0" fontId="2" fillId="0" borderId="10" xfId="0" applyFont="1" applyBorder="1" applyAlignment="1" applyProtection="1">
      <alignment horizontal="left"/>
      <protection locked="0"/>
    </xf>
    <xf numFmtId="0" fontId="2" fillId="0" borderId="1" xfId="0" applyFont="1" applyBorder="1" applyAlignment="1" applyProtection="1">
      <alignment horizontal="left"/>
      <protection locked="0"/>
    </xf>
    <xf numFmtId="0" fontId="2" fillId="0" borderId="14" xfId="0" applyFont="1" applyBorder="1" applyAlignment="1" applyProtection="1">
      <alignment horizontal="left"/>
      <protection locked="0"/>
    </xf>
    <xf numFmtId="0" fontId="4" fillId="0" borderId="55" xfId="0" applyFont="1" applyBorder="1" applyAlignment="1" applyProtection="1">
      <alignment horizontal="left" vertical="top"/>
    </xf>
    <xf numFmtId="0" fontId="4" fillId="0" borderId="59" xfId="0" applyFont="1" applyBorder="1" applyAlignment="1" applyProtection="1">
      <alignment horizontal="left" vertical="top"/>
    </xf>
    <xf numFmtId="0" fontId="4" fillId="0" borderId="11" xfId="0" applyFont="1" applyBorder="1" applyAlignment="1" applyProtection="1">
      <alignment horizontal="left" vertical="top"/>
    </xf>
    <xf numFmtId="0" fontId="4" fillId="0" borderId="69" xfId="0" applyFont="1" applyBorder="1" applyAlignment="1" applyProtection="1">
      <alignment horizontal="left" vertical="top"/>
    </xf>
    <xf numFmtId="0" fontId="4" fillId="0" borderId="66" xfId="0" applyFont="1" applyBorder="1" applyAlignment="1" applyProtection="1">
      <alignment horizontal="left" vertical="top"/>
    </xf>
    <xf numFmtId="0" fontId="4" fillId="0" borderId="60" xfId="0" applyFont="1" applyBorder="1" applyAlignment="1" applyProtection="1">
      <alignment horizontal="left" vertical="top"/>
    </xf>
    <xf numFmtId="2" fontId="2" fillId="0" borderId="1" xfId="0" applyNumberFormat="1" applyFont="1" applyBorder="1" applyAlignment="1" applyProtection="1">
      <alignment horizontal="left" vertical="top"/>
      <protection locked="0"/>
    </xf>
    <xf numFmtId="2" fontId="2" fillId="0" borderId="14" xfId="0" applyNumberFormat="1" applyFont="1" applyBorder="1" applyAlignment="1" applyProtection="1">
      <alignment horizontal="left" vertical="top"/>
      <protection locked="0"/>
    </xf>
    <xf numFmtId="2" fontId="2" fillId="0" borderId="16" xfId="0" applyNumberFormat="1" applyFont="1" applyBorder="1" applyAlignment="1" applyProtection="1">
      <alignment horizontal="left" vertical="top"/>
      <protection locked="0"/>
    </xf>
    <xf numFmtId="2" fontId="2" fillId="0" borderId="17" xfId="0" applyNumberFormat="1" applyFont="1" applyBorder="1" applyAlignment="1" applyProtection="1">
      <alignment horizontal="left" vertical="top"/>
      <protection locked="0"/>
    </xf>
    <xf numFmtId="0" fontId="2" fillId="0" borderId="16" xfId="0" applyFont="1" applyBorder="1" applyAlignment="1" applyProtection="1">
      <alignment horizontal="left"/>
      <protection locked="0"/>
    </xf>
    <xf numFmtId="0" fontId="2" fillId="0" borderId="17" xfId="0" applyFont="1" applyBorder="1" applyAlignment="1" applyProtection="1">
      <alignment horizontal="left"/>
      <protection locked="0"/>
    </xf>
    <xf numFmtId="0" fontId="4" fillId="0" borderId="8" xfId="0" applyFont="1" applyBorder="1" applyAlignment="1" applyProtection="1">
      <alignment horizontal="left" vertical="top" wrapText="1"/>
    </xf>
    <xf numFmtId="0" fontId="4" fillId="0" borderId="13" xfId="0" applyFont="1" applyBorder="1" applyAlignment="1" applyProtection="1">
      <alignment horizontal="left" vertical="top" wrapText="1"/>
    </xf>
    <xf numFmtId="0" fontId="4" fillId="0" borderId="15" xfId="0" applyFont="1" applyBorder="1" applyAlignment="1" applyProtection="1">
      <alignment horizontal="left" vertical="top" wrapText="1"/>
    </xf>
    <xf numFmtId="0" fontId="2" fillId="0" borderId="16" xfId="0" applyFont="1" applyBorder="1" applyAlignment="1" applyProtection="1">
      <alignment horizontal="left" vertical="top" wrapText="1"/>
      <protection locked="0"/>
    </xf>
    <xf numFmtId="0" fontId="2" fillId="0" borderId="17" xfId="0" applyFont="1" applyBorder="1" applyAlignment="1" applyProtection="1">
      <alignment horizontal="left" vertical="top" wrapText="1"/>
      <protection locked="0"/>
    </xf>
    <xf numFmtId="0" fontId="2" fillId="0" borderId="16" xfId="0" applyFont="1" applyBorder="1" applyAlignment="1" applyProtection="1">
      <alignment horizontal="left" vertical="top"/>
      <protection locked="0"/>
    </xf>
    <xf numFmtId="0" fontId="2" fillId="0" borderId="68" xfId="0" applyFont="1" applyBorder="1" applyAlignment="1" applyProtection="1">
      <alignment horizontal="left" vertical="top"/>
      <protection locked="0"/>
    </xf>
    <xf numFmtId="0" fontId="2" fillId="0" borderId="31" xfId="0" applyFont="1" applyBorder="1" applyAlignment="1" applyProtection="1">
      <alignment horizontal="left" vertical="top"/>
      <protection locked="0"/>
    </xf>
    <xf numFmtId="0" fontId="2" fillId="0" borderId="32" xfId="0" applyFont="1" applyBorder="1" applyAlignment="1" applyProtection="1">
      <alignment horizontal="left" vertical="top"/>
      <protection locked="0"/>
    </xf>
    <xf numFmtId="0" fontId="4" fillId="0" borderId="1" xfId="0" applyFont="1" applyFill="1" applyBorder="1" applyAlignment="1" applyProtection="1">
      <alignment horizontal="left" vertical="top"/>
    </xf>
    <xf numFmtId="0" fontId="2" fillId="0" borderId="9" xfId="0" applyFont="1" applyBorder="1" applyAlignment="1" applyProtection="1">
      <alignment horizontal="left" vertical="top"/>
    </xf>
    <xf numFmtId="0" fontId="2" fillId="0" borderId="10" xfId="0" applyFont="1" applyBorder="1" applyAlignment="1" applyProtection="1">
      <alignment horizontal="left" vertical="top"/>
    </xf>
    <xf numFmtId="0" fontId="2" fillId="0" borderId="6" xfId="0" applyFont="1" applyBorder="1" applyAlignment="1" applyProtection="1">
      <alignment horizontal="left" vertical="top"/>
    </xf>
    <xf numFmtId="0" fontId="2" fillId="0" borderId="22" xfId="0" applyFont="1" applyBorder="1" applyAlignment="1" applyProtection="1">
      <alignment horizontal="left" vertical="top"/>
    </xf>
    <xf numFmtId="164" fontId="2" fillId="0" borderId="6" xfId="0" applyNumberFormat="1" applyFont="1" applyBorder="1" applyAlignment="1" applyProtection="1">
      <alignment horizontal="left" vertical="top"/>
    </xf>
    <xf numFmtId="164" fontId="2" fillId="0" borderId="22" xfId="0" applyNumberFormat="1" applyFont="1" applyBorder="1" applyAlignment="1" applyProtection="1">
      <alignment horizontal="left" vertical="top"/>
    </xf>
    <xf numFmtId="0" fontId="2" fillId="0" borderId="65" xfId="0" applyFont="1" applyBorder="1" applyAlignment="1" applyProtection="1">
      <alignment horizontal="left" vertical="top"/>
    </xf>
    <xf numFmtId="0" fontId="2" fillId="0" borderId="67" xfId="0" applyFont="1" applyBorder="1" applyAlignment="1" applyProtection="1">
      <alignment horizontal="left" vertical="top"/>
    </xf>
    <xf numFmtId="0" fontId="2" fillId="0" borderId="1" xfId="0" applyFont="1" applyBorder="1" applyAlignment="1" applyProtection="1">
      <alignment horizontal="left" vertical="top"/>
    </xf>
    <xf numFmtId="0" fontId="2" fillId="0" borderId="14" xfId="0" applyFont="1" applyBorder="1" applyAlignment="1" applyProtection="1">
      <alignment horizontal="left" vertical="top"/>
    </xf>
    <xf numFmtId="1" fontId="2" fillId="0" borderId="1" xfId="0" applyNumberFormat="1" applyFont="1" applyBorder="1" applyAlignment="1" applyProtection="1">
      <alignment horizontal="left" vertical="top"/>
    </xf>
    <xf numFmtId="1" fontId="2" fillId="0" borderId="14" xfId="0" applyNumberFormat="1" applyFont="1" applyBorder="1" applyAlignment="1" applyProtection="1">
      <alignment horizontal="left" vertical="top"/>
    </xf>
    <xf numFmtId="0" fontId="2" fillId="0" borderId="16" xfId="0" applyFont="1" applyBorder="1" applyAlignment="1" applyProtection="1">
      <alignment horizontal="left" vertical="top"/>
    </xf>
    <xf numFmtId="0" fontId="2" fillId="0" borderId="17" xfId="0" applyFont="1" applyBorder="1" applyAlignment="1" applyProtection="1">
      <alignment horizontal="left" vertical="top"/>
    </xf>
    <xf numFmtId="0" fontId="5" fillId="0" borderId="0" xfId="0" applyFont="1" applyFill="1" applyBorder="1" applyAlignment="1" applyProtection="1">
      <alignment horizontal="center"/>
    </xf>
    <xf numFmtId="0" fontId="9" fillId="0" borderId="0" xfId="0" applyFont="1" applyAlignment="1">
      <alignment horizontal="justify" vertical="top" wrapText="1"/>
    </xf>
    <xf numFmtId="0" fontId="7" fillId="2" borderId="2" xfId="0" applyFont="1" applyFill="1" applyBorder="1" applyAlignment="1" applyProtection="1">
      <alignment horizontal="left" vertical="top"/>
    </xf>
    <xf numFmtId="0" fontId="7" fillId="2" borderId="3" xfId="0" applyFont="1" applyFill="1" applyBorder="1" applyAlignment="1" applyProtection="1">
      <alignment horizontal="left" vertical="top"/>
    </xf>
    <xf numFmtId="0" fontId="7" fillId="2" borderId="4" xfId="0" applyFont="1" applyFill="1" applyBorder="1" applyAlignment="1" applyProtection="1">
      <alignment horizontal="left" vertical="top"/>
    </xf>
    <xf numFmtId="0" fontId="2" fillId="0" borderId="2" xfId="0" applyFont="1" applyBorder="1" applyAlignment="1" applyProtection="1">
      <alignment horizontal="left"/>
    </xf>
    <xf numFmtId="0" fontId="2" fillId="0" borderId="3" xfId="0" applyFont="1" applyBorder="1" applyAlignment="1" applyProtection="1">
      <alignment horizontal="left"/>
    </xf>
    <xf numFmtId="0" fontId="2" fillId="0" borderId="4" xfId="0" applyFont="1" applyBorder="1" applyAlignment="1" applyProtection="1">
      <alignment horizontal="left"/>
    </xf>
    <xf numFmtId="0" fontId="2" fillId="0" borderId="1" xfId="0" applyFont="1" applyBorder="1" applyAlignment="1" applyProtection="1">
      <alignment horizontal="left" vertical="top" wrapText="1"/>
      <protection locked="0"/>
    </xf>
    <xf numFmtId="0" fontId="2" fillId="0" borderId="0" xfId="0" applyFont="1" applyBorder="1" applyAlignment="1" applyProtection="1">
      <alignment horizontal="center"/>
    </xf>
    <xf numFmtId="0" fontId="5" fillId="0" borderId="2" xfId="0" applyFont="1" applyBorder="1" applyAlignment="1">
      <alignment horizontal="left" vertical="top" wrapText="1"/>
    </xf>
    <xf numFmtId="0" fontId="5" fillId="0" borderId="3" xfId="0" applyFont="1" applyBorder="1" applyAlignment="1">
      <alignment horizontal="left" vertical="top" wrapText="1"/>
    </xf>
    <xf numFmtId="0" fontId="5" fillId="0" borderId="4" xfId="0" applyFont="1" applyBorder="1" applyAlignment="1">
      <alignment horizontal="left" vertical="top" wrapText="1"/>
    </xf>
    <xf numFmtId="0" fontId="2" fillId="0" borderId="1" xfId="0" applyFont="1" applyBorder="1" applyAlignment="1">
      <alignment horizontal="left" vertical="top"/>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20" xfId="0" applyFont="1" applyFill="1" applyBorder="1" applyAlignment="1">
      <alignment horizontal="left" vertical="top"/>
    </xf>
    <xf numFmtId="0" fontId="4" fillId="0" borderId="1" xfId="0" applyFont="1" applyBorder="1" applyAlignment="1">
      <alignment horizontal="left" vertical="top"/>
    </xf>
    <xf numFmtId="2" fontId="2" fillId="0" borderId="1" xfId="0" applyNumberFormat="1" applyFont="1" applyBorder="1" applyAlignment="1">
      <alignment horizontal="left" vertical="top"/>
    </xf>
    <xf numFmtId="0" fontId="4" fillId="0" borderId="2" xfId="0" applyFont="1" applyBorder="1" applyAlignment="1">
      <alignment horizontal="left" vertical="top"/>
    </xf>
    <xf numFmtId="0" fontId="4" fillId="0" borderId="4" xfId="0" applyFont="1" applyBorder="1" applyAlignment="1">
      <alignment horizontal="left" vertical="top"/>
    </xf>
    <xf numFmtId="0" fontId="5" fillId="0" borderId="5" xfId="0" applyFont="1" applyBorder="1" applyAlignment="1" applyProtection="1">
      <alignment horizontal="left" vertical="top" wrapText="1"/>
    </xf>
    <xf numFmtId="0" fontId="5" fillId="0" borderId="7" xfId="0" applyFont="1" applyBorder="1" applyAlignment="1" applyProtection="1">
      <alignment horizontal="left" vertical="top" wrapText="1"/>
    </xf>
    <xf numFmtId="0" fontId="5" fillId="0" borderId="6" xfId="0" applyFont="1" applyBorder="1" applyAlignment="1" applyProtection="1">
      <alignment horizontal="left" vertical="top" wrapText="1"/>
    </xf>
    <xf numFmtId="0" fontId="2" fillId="0" borderId="2" xfId="0" applyFont="1" applyBorder="1" applyAlignment="1" applyProtection="1">
      <alignment horizontal="left" vertical="top" wrapText="1"/>
    </xf>
    <xf numFmtId="0" fontId="2" fillId="0" borderId="3" xfId="0" applyFont="1" applyBorder="1" applyAlignment="1" applyProtection="1">
      <alignment horizontal="left" vertical="top" wrapText="1"/>
    </xf>
    <xf numFmtId="0" fontId="2" fillId="0" borderId="4" xfId="0" applyFont="1" applyBorder="1" applyAlignment="1" applyProtection="1">
      <alignment horizontal="left" vertical="top" wrapText="1"/>
    </xf>
    <xf numFmtId="0" fontId="5" fillId="3" borderId="47" xfId="0" applyFont="1" applyFill="1" applyBorder="1" applyAlignment="1" applyProtection="1">
      <alignment horizontal="center" vertical="top" wrapText="1"/>
    </xf>
    <xf numFmtId="0" fontId="5" fillId="3" borderId="58" xfId="0" applyFont="1" applyFill="1" applyBorder="1" applyAlignment="1" applyProtection="1">
      <alignment horizontal="center" vertical="top" wrapText="1"/>
    </xf>
    <xf numFmtId="0" fontId="4" fillId="2" borderId="13" xfId="0" applyFont="1" applyFill="1" applyBorder="1" applyAlignment="1" applyProtection="1">
      <alignment horizontal="left" vertical="top"/>
    </xf>
    <xf numFmtId="0" fontId="4" fillId="2" borderId="1" xfId="0" applyFont="1" applyFill="1" applyBorder="1" applyAlignment="1" applyProtection="1">
      <alignment horizontal="left" vertical="top"/>
    </xf>
    <xf numFmtId="0" fontId="4" fillId="2" borderId="14" xfId="0" applyFont="1" applyFill="1" applyBorder="1" applyAlignment="1" applyProtection="1">
      <alignment horizontal="left" vertical="top"/>
    </xf>
    <xf numFmtId="0" fontId="3" fillId="2" borderId="1" xfId="0" applyFont="1" applyFill="1" applyBorder="1" applyAlignment="1" applyProtection="1">
      <alignment horizontal="left" vertical="top"/>
    </xf>
    <xf numFmtId="0" fontId="3" fillId="2" borderId="14" xfId="0" applyFont="1" applyFill="1" applyBorder="1" applyAlignment="1" applyProtection="1">
      <alignment horizontal="left" vertical="top"/>
    </xf>
    <xf numFmtId="0" fontId="2" fillId="0" borderId="14" xfId="0" applyFont="1" applyBorder="1" applyAlignment="1" applyProtection="1">
      <alignment horizontal="left" vertical="top" wrapText="1"/>
      <protection locked="0"/>
    </xf>
    <xf numFmtId="0" fontId="3" fillId="2" borderId="1" xfId="0" applyFont="1" applyFill="1" applyBorder="1" applyAlignment="1" applyProtection="1">
      <alignment horizontal="left"/>
    </xf>
    <xf numFmtId="0" fontId="6" fillId="0" borderId="1" xfId="0" applyFont="1" applyBorder="1" applyAlignment="1" applyProtection="1">
      <alignment horizontal="left" vertical="top" wrapText="1"/>
      <protection locked="0"/>
    </xf>
    <xf numFmtId="0" fontId="6" fillId="0" borderId="14" xfId="0" applyFont="1" applyBorder="1" applyAlignment="1" applyProtection="1">
      <alignment horizontal="left" vertical="top" wrapText="1"/>
      <protection locked="0"/>
    </xf>
    <xf numFmtId="0" fontId="6" fillId="0" borderId="1" xfId="0" applyFont="1" applyBorder="1" applyAlignment="1" applyProtection="1">
      <alignment horizontal="left"/>
      <protection locked="0"/>
    </xf>
    <xf numFmtId="0" fontId="20" fillId="0" borderId="26" xfId="0" applyFont="1" applyBorder="1" applyAlignment="1">
      <alignment horizontal="left" vertical="center" wrapText="1"/>
    </xf>
    <xf numFmtId="0" fontId="20" fillId="0" borderId="27" xfId="0" applyFont="1" applyBorder="1" applyAlignment="1">
      <alignment horizontal="left" vertical="center" wrapText="1"/>
    </xf>
    <xf numFmtId="0" fontId="20" fillId="0" borderId="29" xfId="0" applyFont="1" applyBorder="1" applyAlignment="1">
      <alignment horizontal="left" vertical="center" wrapText="1"/>
    </xf>
    <xf numFmtId="0" fontId="20" fillId="0" borderId="0" xfId="0" applyFont="1" applyBorder="1" applyAlignment="1">
      <alignment horizontal="left" vertical="center" wrapText="1"/>
    </xf>
    <xf numFmtId="0" fontId="18" fillId="0" borderId="26" xfId="0" applyFont="1" applyBorder="1" applyAlignment="1">
      <alignment vertical="center" wrapText="1"/>
    </xf>
    <xf numFmtId="0" fontId="18" fillId="0" borderId="27" xfId="0" applyFont="1" applyBorder="1" applyAlignment="1">
      <alignment vertical="center" wrapText="1"/>
    </xf>
    <xf numFmtId="0" fontId="18" fillId="0" borderId="29" xfId="0" applyFont="1" applyBorder="1" applyAlignment="1">
      <alignment vertical="center" wrapText="1"/>
    </xf>
    <xf numFmtId="0" fontId="18" fillId="0" borderId="0" xfId="0" applyFont="1" applyBorder="1" applyAlignment="1">
      <alignment vertical="center" wrapText="1"/>
    </xf>
    <xf numFmtId="0" fontId="2" fillId="0" borderId="26" xfId="0" applyFont="1" applyBorder="1" applyAlignment="1">
      <alignment horizontal="center"/>
    </xf>
    <xf numFmtId="0" fontId="2" fillId="0" borderId="27" xfId="0" applyFont="1" applyBorder="1" applyAlignment="1">
      <alignment horizontal="center"/>
    </xf>
    <xf numFmtId="0" fontId="18" fillId="0" borderId="0" xfId="0" applyFont="1" applyBorder="1" applyAlignment="1">
      <alignment horizontal="left" vertical="center" wrapText="1"/>
    </xf>
    <xf numFmtId="0" fontId="19" fillId="0" borderId="0" xfId="0" applyFont="1" applyBorder="1" applyAlignment="1">
      <alignment horizontal="left" vertical="center" wrapText="1"/>
    </xf>
    <xf numFmtId="0" fontId="28" fillId="0" borderId="15" xfId="0" applyFont="1" applyBorder="1" applyAlignment="1">
      <alignment horizontal="center"/>
    </xf>
    <xf numFmtId="0" fontId="28" fillId="0" borderId="17" xfId="0" applyFont="1" applyBorder="1" applyAlignment="1">
      <alignment horizontal="center"/>
    </xf>
    <xf numFmtId="0" fontId="29" fillId="0" borderId="36" xfId="0" applyFont="1" applyBorder="1" applyAlignment="1">
      <alignment horizontal="left"/>
    </xf>
    <xf numFmtId="0" fontId="29" fillId="0" borderId="58" xfId="0" applyFont="1" applyBorder="1" applyAlignment="1">
      <alignment horizontal="left"/>
    </xf>
    <xf numFmtId="0" fontId="29" fillId="0" borderId="3" xfId="0" applyFont="1" applyBorder="1" applyAlignment="1">
      <alignment horizontal="left"/>
    </xf>
    <xf numFmtId="0" fontId="29" fillId="0" borderId="4" xfId="0" applyFont="1" applyBorder="1" applyAlignment="1">
      <alignment horizontal="left"/>
    </xf>
    <xf numFmtId="0" fontId="29" fillId="0" borderId="44" xfId="0" applyFont="1" applyBorder="1" applyAlignment="1">
      <alignment horizontal="left"/>
    </xf>
    <xf numFmtId="0" fontId="29" fillId="0" borderId="62" xfId="0" applyFont="1" applyBorder="1" applyAlignment="1">
      <alignment horizontal="left"/>
    </xf>
    <xf numFmtId="0" fontId="22" fillId="0" borderId="30" xfId="0" applyFont="1" applyFill="1" applyBorder="1" applyAlignment="1">
      <alignment horizontal="center"/>
    </xf>
    <xf numFmtId="0" fontId="22" fillId="0" borderId="31" xfId="0" applyFont="1" applyFill="1" applyBorder="1" applyAlignment="1">
      <alignment horizontal="center"/>
    </xf>
    <xf numFmtId="0" fontId="28" fillId="0" borderId="30" xfId="0" applyFont="1" applyBorder="1" applyAlignment="1">
      <alignment horizontal="left"/>
    </xf>
    <xf numFmtId="0" fontId="28" fillId="0" borderId="31" xfId="0" applyFont="1" applyBorder="1" applyAlignment="1">
      <alignment horizontal="left"/>
    </xf>
    <xf numFmtId="0" fontId="28" fillId="0" borderId="32" xfId="0" applyFont="1" applyBorder="1" applyAlignment="1">
      <alignment horizontal="left"/>
    </xf>
    <xf numFmtId="0" fontId="28" fillId="0" borderId="8" xfId="0" applyFont="1" applyBorder="1" applyAlignment="1">
      <alignment horizontal="center"/>
    </xf>
    <xf numFmtId="0" fontId="28" fillId="0" borderId="10" xfId="0" applyFont="1" applyBorder="1" applyAlignment="1">
      <alignment horizontal="center"/>
    </xf>
    <xf numFmtId="0" fontId="28" fillId="0" borderId="13" xfId="0" applyFont="1" applyBorder="1" applyAlignment="1">
      <alignment horizontal="center"/>
    </xf>
    <xf numFmtId="0" fontId="28" fillId="0" borderId="14" xfId="0" applyFont="1" applyBorder="1" applyAlignment="1">
      <alignment horizontal="center"/>
    </xf>
    <xf numFmtId="0" fontId="23" fillId="7" borderId="13" xfId="1" applyFont="1" applyFill="1" applyBorder="1" applyAlignment="1">
      <alignment horizontal="left" vertical="center"/>
    </xf>
    <xf numFmtId="0" fontId="11" fillId="7" borderId="1" xfId="0" applyFont="1" applyFill="1" applyBorder="1" applyAlignment="1">
      <alignment horizontal="left" vertical="center"/>
    </xf>
    <xf numFmtId="0" fontId="11" fillId="7" borderId="2" xfId="0" applyFont="1" applyFill="1" applyBorder="1" applyAlignment="1">
      <alignment horizontal="left" vertical="center"/>
    </xf>
    <xf numFmtId="0" fontId="11" fillId="0" borderId="13" xfId="0" applyFont="1" applyFill="1" applyBorder="1" applyAlignment="1" applyProtection="1">
      <alignment horizontal="center"/>
      <protection locked="0"/>
    </xf>
    <xf numFmtId="0" fontId="11" fillId="0" borderId="14" xfId="0" applyFont="1" applyFill="1" applyBorder="1" applyAlignment="1" applyProtection="1">
      <alignment horizontal="center"/>
      <protection locked="0"/>
    </xf>
    <xf numFmtId="0" fontId="23" fillId="7" borderId="15" xfId="1" applyFont="1" applyFill="1" applyBorder="1" applyAlignment="1">
      <alignment horizontal="left" vertical="center"/>
    </xf>
    <xf numFmtId="0" fontId="11" fillId="7" borderId="16" xfId="0" applyFont="1" applyFill="1" applyBorder="1" applyAlignment="1">
      <alignment horizontal="left" vertical="center"/>
    </xf>
    <xf numFmtId="0" fontId="11" fillId="7" borderId="48" xfId="0" applyFont="1" applyFill="1" applyBorder="1" applyAlignment="1">
      <alignment horizontal="left" vertical="center"/>
    </xf>
    <xf numFmtId="0" fontId="11" fillId="0" borderId="15" xfId="0" applyFont="1" applyFill="1" applyBorder="1" applyAlignment="1" applyProtection="1">
      <alignment horizontal="center"/>
      <protection locked="0"/>
    </xf>
    <xf numFmtId="0" fontId="11" fillId="0" borderId="17" xfId="0" applyFont="1" applyFill="1" applyBorder="1" applyAlignment="1" applyProtection="1">
      <alignment horizontal="center"/>
      <protection locked="0"/>
    </xf>
    <xf numFmtId="0" fontId="23" fillId="7" borderId="1" xfId="1" applyFont="1" applyFill="1" applyBorder="1" applyAlignment="1">
      <alignment horizontal="left" vertical="center"/>
    </xf>
    <xf numFmtId="0" fontId="23" fillId="7" borderId="2" xfId="1" applyFont="1" applyFill="1" applyBorder="1" applyAlignment="1">
      <alignment horizontal="left" vertical="center"/>
    </xf>
    <xf numFmtId="0" fontId="22" fillId="5" borderId="30" xfId="0" applyFont="1" applyFill="1" applyBorder="1" applyAlignment="1">
      <alignment horizontal="center" vertical="center" textRotation="90"/>
    </xf>
    <xf numFmtId="0" fontId="22" fillId="5" borderId="11" xfId="0" applyFont="1" applyFill="1" applyBorder="1" applyAlignment="1">
      <alignment horizontal="center" vertical="center" textRotation="90"/>
    </xf>
    <xf numFmtId="0" fontId="22" fillId="5" borderId="38" xfId="0" applyFont="1" applyFill="1" applyBorder="1" applyAlignment="1">
      <alignment horizontal="center" vertical="center" textRotation="90"/>
    </xf>
    <xf numFmtId="0" fontId="22" fillId="5" borderId="46" xfId="0" applyFont="1" applyFill="1" applyBorder="1" applyAlignment="1">
      <alignment horizontal="center" vertical="center" textRotation="90"/>
    </xf>
    <xf numFmtId="0" fontId="23" fillId="6" borderId="35" xfId="1" applyFont="1" applyFill="1" applyBorder="1" applyAlignment="1">
      <alignment horizontal="left" vertical="center"/>
    </xf>
    <xf numFmtId="0" fontId="23" fillId="6" borderId="36" xfId="1" applyFont="1" applyFill="1" applyBorder="1" applyAlignment="1">
      <alignment horizontal="left" vertical="center"/>
    </xf>
    <xf numFmtId="0" fontId="25" fillId="0" borderId="8" xfId="0" applyFont="1" applyFill="1" applyBorder="1" applyAlignment="1" applyProtection="1">
      <alignment horizontal="center"/>
      <protection locked="0"/>
    </xf>
    <xf numFmtId="0" fontId="25" fillId="0" borderId="10" xfId="0" applyFont="1" applyFill="1" applyBorder="1" applyAlignment="1" applyProtection="1">
      <alignment horizontal="center"/>
      <protection locked="0"/>
    </xf>
    <xf numFmtId="0" fontId="23" fillId="8" borderId="40" xfId="1" applyFont="1" applyFill="1" applyBorder="1" applyAlignment="1">
      <alignment horizontal="left" vertical="center"/>
    </xf>
    <xf numFmtId="0" fontId="23" fillId="8" borderId="3" xfId="1" applyFont="1" applyFill="1" applyBorder="1" applyAlignment="1">
      <alignment horizontal="left" vertical="center"/>
    </xf>
    <xf numFmtId="0" fontId="23" fillId="8" borderId="41" xfId="1" applyFont="1" applyFill="1" applyBorder="1" applyAlignment="1">
      <alignment horizontal="left" vertical="center"/>
    </xf>
    <xf numFmtId="0" fontId="23" fillId="8" borderId="15" xfId="1" applyFont="1" applyFill="1" applyBorder="1" applyAlignment="1">
      <alignment horizontal="left" vertical="center"/>
    </xf>
    <xf numFmtId="0" fontId="23" fillId="8" borderId="16" xfId="1" applyFont="1" applyFill="1" applyBorder="1" applyAlignment="1">
      <alignment horizontal="left" vertical="center"/>
    </xf>
    <xf numFmtId="0" fontId="23" fillId="8" borderId="17" xfId="1" applyFont="1" applyFill="1" applyBorder="1" applyAlignment="1">
      <alignment horizontal="left" vertical="center"/>
    </xf>
    <xf numFmtId="0" fontId="22" fillId="5" borderId="23" xfId="0" applyFont="1" applyFill="1" applyBorder="1" applyAlignment="1">
      <alignment horizontal="center" vertical="center" textRotation="90"/>
    </xf>
    <xf numFmtId="0" fontId="23" fillId="7" borderId="8" xfId="1" applyFont="1" applyFill="1" applyBorder="1" applyAlignment="1">
      <alignment horizontal="left" vertical="center"/>
    </xf>
    <xf numFmtId="0" fontId="23" fillId="7" borderId="9" xfId="1" applyFont="1" applyFill="1" applyBorder="1" applyAlignment="1">
      <alignment horizontal="left" vertical="center"/>
    </xf>
    <xf numFmtId="0" fontId="23" fillId="7" borderId="47" xfId="1" applyFont="1" applyFill="1" applyBorder="1" applyAlignment="1">
      <alignment horizontal="left" vertical="center"/>
    </xf>
    <xf numFmtId="0" fontId="25" fillId="0" borderId="13" xfId="0" applyFont="1" applyFill="1" applyBorder="1" applyAlignment="1" applyProtection="1">
      <alignment horizontal="center"/>
      <protection locked="0"/>
    </xf>
    <xf numFmtId="0" fontId="25" fillId="0" borderId="14" xfId="0" applyFont="1" applyFill="1" applyBorder="1" applyAlignment="1" applyProtection="1">
      <alignment horizontal="center"/>
      <protection locked="0"/>
    </xf>
    <xf numFmtId="0" fontId="23" fillId="6" borderId="40" xfId="1" applyFont="1" applyFill="1" applyBorder="1" applyAlignment="1">
      <alignment horizontal="left" vertical="center"/>
    </xf>
    <xf numFmtId="0" fontId="23" fillId="6" borderId="3" xfId="1" applyFont="1" applyFill="1" applyBorder="1" applyAlignment="1">
      <alignment horizontal="left" vertical="center"/>
    </xf>
    <xf numFmtId="0" fontId="23" fillId="6" borderId="43" xfId="1" applyFont="1" applyFill="1" applyBorder="1" applyAlignment="1">
      <alignment horizontal="left" vertical="center"/>
    </xf>
    <xf numFmtId="0" fontId="23" fillId="6" borderId="44" xfId="1" applyFont="1" applyFill="1" applyBorder="1" applyAlignment="1">
      <alignment horizontal="left" vertical="center"/>
    </xf>
    <xf numFmtId="0" fontId="25" fillId="0" borderId="15" xfId="0" applyFont="1" applyFill="1" applyBorder="1" applyAlignment="1" applyProtection="1">
      <alignment horizontal="center"/>
      <protection locked="0"/>
    </xf>
    <xf numFmtId="0" fontId="25" fillId="0" borderId="17" xfId="0" applyFont="1" applyFill="1" applyBorder="1" applyAlignment="1" applyProtection="1">
      <alignment horizontal="center"/>
      <protection locked="0"/>
    </xf>
    <xf numFmtId="0" fontId="23" fillId="8" borderId="8" xfId="1" applyFont="1" applyFill="1" applyBorder="1" applyAlignment="1">
      <alignment horizontal="left" vertical="center"/>
    </xf>
    <xf numFmtId="0" fontId="23" fillId="8" borderId="9" xfId="1" applyFont="1" applyFill="1" applyBorder="1" applyAlignment="1">
      <alignment horizontal="left" vertical="center"/>
    </xf>
    <xf numFmtId="0" fontId="23" fillId="8" borderId="10" xfId="1" applyFont="1" applyFill="1" applyBorder="1" applyAlignment="1">
      <alignment horizontal="left" vertical="center"/>
    </xf>
    <xf numFmtId="0" fontId="23" fillId="8" borderId="13" xfId="1" applyFont="1" applyFill="1" applyBorder="1" applyAlignment="1">
      <alignment horizontal="left" vertical="center"/>
    </xf>
    <xf numFmtId="0" fontId="23" fillId="8" borderId="1" xfId="1" applyFont="1" applyFill="1" applyBorder="1" applyAlignment="1">
      <alignment horizontal="left" vertical="center"/>
    </xf>
    <xf numFmtId="0" fontId="23" fillId="8" borderId="14" xfId="1" applyFont="1" applyFill="1" applyBorder="1" applyAlignment="1">
      <alignment horizontal="left" vertical="center"/>
    </xf>
    <xf numFmtId="0" fontId="23" fillId="6" borderId="49" xfId="1" applyFont="1" applyFill="1" applyBorder="1" applyAlignment="1">
      <alignment vertical="center"/>
    </xf>
    <xf numFmtId="0" fontId="23" fillId="6" borderId="50" xfId="1" applyFont="1" applyFill="1" applyBorder="1" applyAlignment="1">
      <alignment vertical="center"/>
    </xf>
    <xf numFmtId="0" fontId="23" fillId="6" borderId="63" xfId="1" applyFont="1" applyFill="1" applyBorder="1" applyAlignment="1">
      <alignment vertical="center"/>
    </xf>
    <xf numFmtId="0" fontId="25" fillId="0" borderId="18" xfId="0" applyFont="1" applyFill="1" applyBorder="1" applyAlignment="1" applyProtection="1">
      <alignment horizontal="center"/>
      <protection locked="0"/>
    </xf>
    <xf numFmtId="0" fontId="25" fillId="0" borderId="20" xfId="0" applyFont="1" applyFill="1" applyBorder="1" applyAlignment="1" applyProtection="1">
      <alignment horizontal="center"/>
      <protection locked="0"/>
    </xf>
    <xf numFmtId="0" fontId="22" fillId="0" borderId="0" xfId="0" applyFont="1" applyFill="1" applyBorder="1" applyAlignment="1">
      <alignment horizontal="center"/>
    </xf>
    <xf numFmtId="0" fontId="23" fillId="8" borderId="4" xfId="1" applyFont="1" applyFill="1" applyBorder="1" applyAlignment="1">
      <alignment horizontal="left" vertical="center"/>
    </xf>
    <xf numFmtId="0" fontId="23" fillId="8" borderId="2" xfId="1" applyFont="1" applyFill="1" applyBorder="1" applyAlignment="1">
      <alignment horizontal="left" vertical="center"/>
    </xf>
    <xf numFmtId="0" fontId="23" fillId="8" borderId="62" xfId="1" applyFont="1" applyFill="1" applyBorder="1" applyAlignment="1">
      <alignment horizontal="left" vertical="center"/>
    </xf>
    <xf numFmtId="0" fontId="23" fillId="8" borderId="48" xfId="1" applyFont="1" applyFill="1" applyBorder="1" applyAlignment="1">
      <alignment horizontal="left" vertical="center"/>
    </xf>
    <xf numFmtId="0" fontId="23" fillId="9" borderId="4" xfId="1" applyFont="1" applyFill="1" applyBorder="1" applyAlignment="1">
      <alignment horizontal="left" vertical="center"/>
    </xf>
    <xf numFmtId="0" fontId="23" fillId="9" borderId="1" xfId="1" applyFont="1" applyFill="1" applyBorder="1" applyAlignment="1">
      <alignment horizontal="left" vertical="center"/>
    </xf>
    <xf numFmtId="0" fontId="23" fillId="9" borderId="2" xfId="1" applyFont="1" applyFill="1" applyBorder="1" applyAlignment="1">
      <alignment horizontal="left" vertical="center"/>
    </xf>
    <xf numFmtId="0" fontId="23" fillId="9" borderId="62" xfId="1" applyFont="1" applyFill="1" applyBorder="1" applyAlignment="1">
      <alignment horizontal="left" vertical="center"/>
    </xf>
    <xf numFmtId="0" fontId="23" fillId="9" borderId="16" xfId="1" applyFont="1" applyFill="1" applyBorder="1" applyAlignment="1">
      <alignment horizontal="left" vertical="center"/>
    </xf>
    <xf numFmtId="0" fontId="23" fillId="9" borderId="48" xfId="1" applyFont="1" applyFill="1" applyBorder="1" applyAlignment="1">
      <alignment horizontal="left" vertical="center"/>
    </xf>
    <xf numFmtId="0" fontId="25" fillId="0" borderId="53" xfId="0" applyFont="1" applyFill="1" applyBorder="1" applyAlignment="1" applyProtection="1">
      <alignment horizontal="center"/>
      <protection locked="0"/>
    </xf>
    <xf numFmtId="0" fontId="25" fillId="0" borderId="54" xfId="0" applyFont="1" applyFill="1" applyBorder="1" applyAlignment="1" applyProtection="1">
      <alignment horizontal="center"/>
      <protection locked="0"/>
    </xf>
    <xf numFmtId="0" fontId="23" fillId="8" borderId="60" xfId="1" applyFont="1" applyFill="1" applyBorder="1" applyAlignment="1">
      <alignment horizontal="left" vertical="center"/>
    </xf>
    <xf numFmtId="0" fontId="23" fillId="8" borderId="6" xfId="1" applyFont="1" applyFill="1" applyBorder="1" applyAlignment="1">
      <alignment horizontal="left" vertical="center"/>
    </xf>
    <xf numFmtId="0" fontId="23" fillId="8" borderId="61" xfId="1" applyFont="1" applyFill="1" applyBorder="1" applyAlignment="1">
      <alignment horizontal="left" vertical="center"/>
    </xf>
    <xf numFmtId="0" fontId="22" fillId="5" borderId="33" xfId="0" applyFont="1" applyFill="1" applyBorder="1" applyAlignment="1">
      <alignment horizontal="center" vertical="center" textRotation="90"/>
    </xf>
    <xf numFmtId="0" fontId="23" fillId="10" borderId="40" xfId="1" applyFont="1" applyFill="1" applyBorder="1" applyAlignment="1">
      <alignment horizontal="left" vertical="center"/>
    </xf>
    <xf numFmtId="0" fontId="23" fillId="10" borderId="3" xfId="1" applyFont="1" applyFill="1" applyBorder="1" applyAlignment="1">
      <alignment horizontal="left" vertical="center"/>
    </xf>
    <xf numFmtId="0" fontId="22" fillId="0" borderId="32" xfId="0" applyFont="1" applyFill="1" applyBorder="1" applyAlignment="1">
      <alignment horizontal="center"/>
    </xf>
    <xf numFmtId="0" fontId="11" fillId="0" borderId="43" xfId="0" applyFont="1" applyFill="1" applyBorder="1" applyAlignment="1" applyProtection="1">
      <alignment horizontal="center"/>
      <protection locked="0"/>
    </xf>
    <xf numFmtId="0" fontId="11" fillId="0" borderId="45" xfId="0" applyFont="1" applyFill="1" applyBorder="1" applyAlignment="1" applyProtection="1">
      <alignment horizontal="center"/>
      <protection locked="0"/>
    </xf>
    <xf numFmtId="0" fontId="18" fillId="0" borderId="30" xfId="0" applyFont="1" applyBorder="1" applyAlignment="1" applyProtection="1">
      <alignment horizontal="left" vertical="top"/>
      <protection locked="0"/>
    </xf>
    <xf numFmtId="0" fontId="18" fillId="0" borderId="31" xfId="0" applyFont="1" applyBorder="1" applyAlignment="1" applyProtection="1">
      <alignment horizontal="left" vertical="top"/>
      <protection locked="0"/>
    </xf>
    <xf numFmtId="0" fontId="18" fillId="0" borderId="32" xfId="0" applyFont="1" applyBorder="1" applyAlignment="1" applyProtection="1">
      <alignment horizontal="left" vertical="top"/>
      <protection locked="0"/>
    </xf>
    <xf numFmtId="0" fontId="18" fillId="0" borderId="11" xfId="0" applyFont="1" applyBorder="1" applyAlignment="1" applyProtection="1">
      <alignment horizontal="left" vertical="top"/>
      <protection locked="0"/>
    </xf>
    <xf numFmtId="0" fontId="18" fillId="0" borderId="0" xfId="0" applyFont="1" applyBorder="1" applyAlignment="1" applyProtection="1">
      <alignment horizontal="left" vertical="top"/>
      <protection locked="0"/>
    </xf>
    <xf numFmtId="0" fontId="18" fillId="0" borderId="12" xfId="0" applyFont="1" applyBorder="1" applyAlignment="1" applyProtection="1">
      <alignment horizontal="left" vertical="top"/>
      <protection locked="0"/>
    </xf>
    <xf numFmtId="0" fontId="18" fillId="0" borderId="23" xfId="0" applyFont="1" applyBorder="1" applyAlignment="1" applyProtection="1">
      <alignment horizontal="left" vertical="top"/>
      <protection locked="0"/>
    </xf>
    <xf numFmtId="0" fontId="18" fillId="0" borderId="24" xfId="0" applyFont="1" applyBorder="1" applyAlignment="1" applyProtection="1">
      <alignment horizontal="left" vertical="top"/>
      <protection locked="0"/>
    </xf>
    <xf numFmtId="0" fontId="18" fillId="0" borderId="25" xfId="0" applyFont="1" applyBorder="1" applyAlignment="1" applyProtection="1">
      <alignment horizontal="left" vertical="top"/>
      <protection locked="0"/>
    </xf>
    <xf numFmtId="0" fontId="19" fillId="0" borderId="18" xfId="0" applyFont="1" applyBorder="1" applyAlignment="1">
      <alignment horizontal="left"/>
    </xf>
    <xf numFmtId="0" fontId="19" fillId="0" borderId="19" xfId="0" applyFont="1" applyBorder="1" applyAlignment="1">
      <alignment horizontal="left"/>
    </xf>
    <xf numFmtId="0" fontId="19" fillId="0" borderId="20" xfId="0" applyFont="1" applyBorder="1" applyAlignment="1">
      <alignment horizontal="left"/>
    </xf>
    <xf numFmtId="0" fontId="23" fillId="7" borderId="10" xfId="1" applyFont="1" applyFill="1" applyBorder="1" applyAlignment="1">
      <alignment horizontal="left" vertical="center"/>
    </xf>
    <xf numFmtId="0" fontId="25" fillId="0" borderId="35" xfId="0" applyFont="1" applyFill="1" applyBorder="1" applyAlignment="1" applyProtection="1">
      <alignment horizontal="center"/>
      <protection locked="0"/>
    </xf>
    <xf numFmtId="0" fontId="25" fillId="0" borderId="37" xfId="0" applyFont="1" applyFill="1" applyBorder="1" applyAlignment="1" applyProtection="1">
      <alignment horizontal="center"/>
      <protection locked="0"/>
    </xf>
    <xf numFmtId="0" fontId="23" fillId="7" borderId="14" xfId="1" applyFont="1" applyFill="1" applyBorder="1" applyAlignment="1">
      <alignment horizontal="left" vertical="center"/>
    </xf>
    <xf numFmtId="0" fontId="23" fillId="7" borderId="53" xfId="1" applyFont="1" applyFill="1" applyBorder="1" applyAlignment="1">
      <alignment horizontal="left" vertical="center"/>
    </xf>
    <xf numFmtId="0" fontId="23" fillId="7" borderId="5" xfId="1" applyFont="1" applyFill="1" applyBorder="1" applyAlignment="1">
      <alignment horizontal="left" vertical="center"/>
    </xf>
    <xf numFmtId="0" fontId="23" fillId="7" borderId="54" xfId="1" applyFont="1" applyFill="1" applyBorder="1" applyAlignment="1">
      <alignment horizontal="left" vertical="center"/>
    </xf>
    <xf numFmtId="0" fontId="23" fillId="9" borderId="8" xfId="1" applyFont="1" applyFill="1" applyBorder="1" applyAlignment="1">
      <alignment horizontal="left" vertical="center"/>
    </xf>
    <xf numFmtId="0" fontId="23" fillId="9" borderId="9" xfId="1" applyFont="1" applyFill="1" applyBorder="1" applyAlignment="1">
      <alignment horizontal="left" vertical="center"/>
    </xf>
    <xf numFmtId="0" fontId="23" fillId="9" borderId="10" xfId="1" applyFont="1" applyFill="1" applyBorder="1" applyAlignment="1">
      <alignment horizontal="left" vertical="center"/>
    </xf>
    <xf numFmtId="0" fontId="11" fillId="0" borderId="35" xfId="0" applyFont="1" applyFill="1" applyBorder="1" applyAlignment="1" applyProtection="1">
      <alignment horizontal="center"/>
      <protection locked="0"/>
    </xf>
    <xf numFmtId="0" fontId="11" fillId="0" borderId="37" xfId="0" applyFont="1" applyFill="1" applyBorder="1" applyAlignment="1" applyProtection="1">
      <alignment horizontal="center"/>
      <protection locked="0"/>
    </xf>
    <xf numFmtId="0" fontId="23" fillId="9" borderId="15" xfId="1" applyFont="1" applyFill="1" applyBorder="1" applyAlignment="1">
      <alignment horizontal="left" vertical="center"/>
    </xf>
    <xf numFmtId="0" fontId="23" fillId="9" borderId="17" xfId="1" applyFont="1" applyFill="1" applyBorder="1" applyAlignment="1">
      <alignment horizontal="left" vertical="center"/>
    </xf>
    <xf numFmtId="0" fontId="23" fillId="9" borderId="47" xfId="1" applyFont="1" applyFill="1" applyBorder="1" applyAlignment="1">
      <alignment horizontal="left" vertical="center"/>
    </xf>
    <xf numFmtId="0" fontId="23" fillId="9" borderId="13" xfId="1" applyFont="1" applyFill="1" applyBorder="1" applyAlignment="1">
      <alignment horizontal="left" vertical="center"/>
    </xf>
    <xf numFmtId="0" fontId="25" fillId="0" borderId="15" xfId="0" applyFont="1" applyFill="1" applyBorder="1" applyAlignment="1">
      <alignment horizontal="center"/>
    </xf>
    <xf numFmtId="0" fontId="25" fillId="0" borderId="17" xfId="0" applyFont="1" applyFill="1" applyBorder="1" applyAlignment="1">
      <alignment horizontal="center"/>
    </xf>
    <xf numFmtId="0" fontId="23" fillId="8" borderId="55" xfId="1" applyFont="1" applyFill="1" applyBorder="1" applyAlignment="1">
      <alignment horizontal="left" vertical="center"/>
    </xf>
    <xf numFmtId="0" fontId="23" fillId="8" borderId="26" xfId="1" applyFont="1" applyFill="1" applyBorder="1" applyAlignment="1">
      <alignment horizontal="left" vertical="center"/>
    </xf>
    <xf numFmtId="0" fontId="23" fillId="8" borderId="56" xfId="1" applyFont="1" applyFill="1" applyBorder="1" applyAlignment="1">
      <alignment horizontal="left" vertical="center"/>
    </xf>
    <xf numFmtId="0" fontId="23" fillId="6" borderId="37" xfId="1" applyFont="1" applyFill="1" applyBorder="1" applyAlignment="1">
      <alignment horizontal="left" vertical="center"/>
    </xf>
    <xf numFmtId="0" fontId="23" fillId="6" borderId="55" xfId="1" applyFont="1" applyFill="1" applyBorder="1" applyAlignment="1">
      <alignment horizontal="left" vertical="center"/>
    </xf>
    <xf numFmtId="0" fontId="23" fillId="6" borderId="26" xfId="1" applyFont="1" applyFill="1" applyBorder="1" applyAlignment="1">
      <alignment horizontal="left" vertical="center"/>
    </xf>
    <xf numFmtId="0" fontId="23" fillId="6" borderId="56" xfId="1" applyFont="1" applyFill="1" applyBorder="1" applyAlignment="1">
      <alignment horizontal="left" vertical="center"/>
    </xf>
    <xf numFmtId="0" fontId="25" fillId="0" borderId="43" xfId="0" applyFont="1" applyFill="1" applyBorder="1" applyAlignment="1" applyProtection="1">
      <alignment horizontal="center"/>
      <protection locked="0"/>
    </xf>
    <xf numFmtId="0" fontId="25" fillId="0" borderId="45" xfId="0" applyFont="1" applyFill="1" applyBorder="1" applyAlignment="1" applyProtection="1">
      <alignment horizontal="center"/>
      <protection locked="0"/>
    </xf>
    <xf numFmtId="0" fontId="23" fillId="7" borderId="18" xfId="1" applyFont="1" applyFill="1" applyBorder="1" applyAlignment="1">
      <alignment horizontal="left" vertical="center"/>
    </xf>
    <xf numFmtId="0" fontId="23" fillId="7" borderId="19" xfId="1" applyFont="1" applyFill="1" applyBorder="1" applyAlignment="1">
      <alignment horizontal="left" vertical="center"/>
    </xf>
    <xf numFmtId="0" fontId="23" fillId="7" borderId="20" xfId="1" applyFont="1" applyFill="1" applyBorder="1" applyAlignment="1">
      <alignment horizontal="left" vertical="center"/>
    </xf>
    <xf numFmtId="0" fontId="23" fillId="6" borderId="8" xfId="1" applyFont="1" applyFill="1" applyBorder="1" applyAlignment="1">
      <alignment vertical="center"/>
    </xf>
    <xf numFmtId="0" fontId="23" fillId="6" borderId="9" xfId="1" applyFont="1" applyFill="1" applyBorder="1" applyAlignment="1">
      <alignment vertical="center"/>
    </xf>
    <xf numFmtId="0" fontId="23" fillId="6" borderId="10" xfId="1" applyFont="1" applyFill="1" applyBorder="1" applyAlignment="1">
      <alignment vertical="center"/>
    </xf>
    <xf numFmtId="0" fontId="23" fillId="6" borderId="40" xfId="1" applyFont="1" applyFill="1" applyBorder="1" applyAlignment="1">
      <alignment vertical="center"/>
    </xf>
    <xf numFmtId="0" fontId="23" fillId="6" borderId="3" xfId="1" applyFont="1" applyFill="1" applyBorder="1" applyAlignment="1">
      <alignment vertical="center"/>
    </xf>
    <xf numFmtId="0" fontId="23" fillId="6" borderId="41" xfId="1" applyFont="1" applyFill="1" applyBorder="1" applyAlignment="1">
      <alignment vertical="center"/>
    </xf>
    <xf numFmtId="0" fontId="23" fillId="8" borderId="53" xfId="1" applyFont="1" applyFill="1" applyBorder="1" applyAlignment="1">
      <alignment horizontal="left" vertical="center"/>
    </xf>
    <xf numFmtId="0" fontId="23" fillId="8" borderId="5" xfId="1" applyFont="1" applyFill="1" applyBorder="1" applyAlignment="1">
      <alignment horizontal="left" vertical="center"/>
    </xf>
    <xf numFmtId="0" fontId="23" fillId="8" borderId="54" xfId="1" applyFont="1" applyFill="1" applyBorder="1" applyAlignment="1">
      <alignment horizontal="left" vertical="center"/>
    </xf>
    <xf numFmtId="0" fontId="25" fillId="0" borderId="40" xfId="0" applyFont="1" applyFill="1" applyBorder="1" applyAlignment="1" applyProtection="1">
      <alignment horizontal="center"/>
      <protection locked="0"/>
    </xf>
    <xf numFmtId="0" fontId="25" fillId="0" borderId="41" xfId="0" applyFont="1" applyFill="1" applyBorder="1" applyAlignment="1" applyProtection="1">
      <alignment horizontal="center"/>
      <protection locked="0"/>
    </xf>
    <xf numFmtId="0" fontId="23" fillId="6" borderId="43" xfId="1" applyFont="1" applyFill="1" applyBorder="1" applyAlignment="1">
      <alignment vertical="center"/>
    </xf>
    <xf numFmtId="0" fontId="23" fillId="6" borderId="44" xfId="1" applyFont="1" applyFill="1" applyBorder="1" applyAlignment="1">
      <alignment vertical="center"/>
    </xf>
    <xf numFmtId="0" fontId="23" fillId="6" borderId="45" xfId="1" applyFont="1" applyFill="1" applyBorder="1" applyAlignment="1">
      <alignment vertical="center"/>
    </xf>
    <xf numFmtId="0" fontId="24" fillId="6" borderId="13" xfId="1" applyFont="1" applyFill="1" applyBorder="1" applyAlignment="1">
      <alignment vertical="center"/>
    </xf>
    <xf numFmtId="0" fontId="24" fillId="6" borderId="1" xfId="1" applyFont="1" applyFill="1" applyBorder="1" applyAlignment="1">
      <alignment vertical="center"/>
    </xf>
    <xf numFmtId="0" fontId="24" fillId="6" borderId="14" xfId="1" applyFont="1" applyFill="1" applyBorder="1" applyAlignment="1">
      <alignment vertical="center"/>
    </xf>
    <xf numFmtId="0" fontId="23" fillId="6" borderId="41" xfId="1" applyFont="1" applyFill="1" applyBorder="1" applyAlignment="1">
      <alignment horizontal="left" vertical="center"/>
    </xf>
    <xf numFmtId="0" fontId="23" fillId="6" borderId="45" xfId="1" applyFont="1" applyFill="1" applyBorder="1" applyAlignment="1">
      <alignment horizontal="left" vertical="center"/>
    </xf>
    <xf numFmtId="0" fontId="23" fillId="7" borderId="23" xfId="1" applyFont="1" applyFill="1" applyBorder="1" applyAlignment="1">
      <alignment horizontal="left" vertical="center"/>
    </xf>
    <xf numFmtId="0" fontId="23" fillId="7" borderId="24" xfId="1" applyFont="1" applyFill="1" applyBorder="1" applyAlignment="1">
      <alignment horizontal="left" vertical="center"/>
    </xf>
    <xf numFmtId="0" fontId="23" fillId="7" borderId="25" xfId="1" applyFont="1" applyFill="1" applyBorder="1" applyAlignment="1">
      <alignment horizontal="left" vertical="center"/>
    </xf>
    <xf numFmtId="0" fontId="23" fillId="9" borderId="49" xfId="1" applyFont="1" applyFill="1" applyBorder="1" applyAlignment="1">
      <alignment horizontal="left" vertical="center"/>
    </xf>
    <xf numFmtId="0" fontId="23" fillId="9" borderId="50" xfId="1" applyFont="1" applyFill="1" applyBorder="1" applyAlignment="1">
      <alignment horizontal="left" vertical="center"/>
    </xf>
    <xf numFmtId="0" fontId="23" fillId="9" borderId="51" xfId="1" applyFont="1" applyFill="1" applyBorder="1" applyAlignment="1">
      <alignment horizontal="left" vertical="center"/>
    </xf>
    <xf numFmtId="0" fontId="2" fillId="0" borderId="0" xfId="0" applyFont="1" applyAlignment="1">
      <alignment horizontal="center" vertical="center" textRotation="90" wrapText="1"/>
    </xf>
    <xf numFmtId="0" fontId="13" fillId="0" borderId="0" xfId="0" applyFont="1" applyAlignment="1">
      <alignment horizontal="left" vertical="top" wrapText="1"/>
    </xf>
  </cellXfs>
  <cellStyles count="2">
    <cellStyle name="Normal" xfId="0" builtinId="0"/>
    <cellStyle name="Normal 2" xfId="1"/>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669E40"/>
      <color rgb="FF000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18542080"/>
        <c:axId val="318542472"/>
      </c:lineChart>
      <c:catAx>
        <c:axId val="318542080"/>
        <c:scaling>
          <c:orientation val="minMax"/>
        </c:scaling>
        <c:delete val="1"/>
        <c:axPos val="b"/>
        <c:majorTickMark val="none"/>
        <c:minorTickMark val="none"/>
        <c:tickLblPos val="nextTo"/>
        <c:crossAx val="318542472"/>
        <c:crosses val="autoZero"/>
        <c:auto val="1"/>
        <c:lblAlgn val="ctr"/>
        <c:lblOffset val="100"/>
        <c:noMultiLvlLbl val="0"/>
      </c:catAx>
      <c:valAx>
        <c:axId val="318542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854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18543256"/>
        <c:axId val="318538944"/>
      </c:lineChart>
      <c:catAx>
        <c:axId val="318543256"/>
        <c:scaling>
          <c:orientation val="minMax"/>
        </c:scaling>
        <c:delete val="1"/>
        <c:axPos val="b"/>
        <c:majorTickMark val="none"/>
        <c:minorTickMark val="none"/>
        <c:tickLblPos val="nextTo"/>
        <c:crossAx val="318538944"/>
        <c:crosses val="autoZero"/>
        <c:auto val="1"/>
        <c:lblAlgn val="ctr"/>
        <c:lblOffset val="100"/>
        <c:noMultiLvlLbl val="0"/>
      </c:catAx>
      <c:valAx>
        <c:axId val="318538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85432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543648"/>
        <c:axId val="318544432"/>
      </c:lineChart>
      <c:catAx>
        <c:axId val="318543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44432"/>
        <c:crosses val="autoZero"/>
        <c:auto val="1"/>
        <c:lblAlgn val="ctr"/>
        <c:lblOffset val="100"/>
        <c:noMultiLvlLbl val="0"/>
      </c:catAx>
      <c:valAx>
        <c:axId val="31854443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43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538160"/>
        <c:axId val="318544040"/>
      </c:lineChart>
      <c:catAx>
        <c:axId val="318538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44040"/>
        <c:crosses val="autoZero"/>
        <c:auto val="1"/>
        <c:lblAlgn val="ctr"/>
        <c:lblOffset val="100"/>
        <c:noMultiLvlLbl val="0"/>
      </c:catAx>
      <c:valAx>
        <c:axId val="3185440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38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539728"/>
        <c:axId val="318539336"/>
      </c:lineChart>
      <c:catAx>
        <c:axId val="3185397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39336"/>
        <c:crosses val="autoZero"/>
        <c:auto val="1"/>
        <c:lblAlgn val="ctr"/>
        <c:lblOffset val="100"/>
        <c:noMultiLvlLbl val="0"/>
      </c:catAx>
      <c:valAx>
        <c:axId val="3185393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397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540120"/>
        <c:axId val="318537768"/>
      </c:lineChart>
      <c:catAx>
        <c:axId val="3185401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37768"/>
        <c:crosses val="autoZero"/>
        <c:auto val="1"/>
        <c:lblAlgn val="ctr"/>
        <c:lblOffset val="100"/>
        <c:noMultiLvlLbl val="0"/>
      </c:catAx>
      <c:valAx>
        <c:axId val="318537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540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79547776"/>
        <c:axId val="179546600"/>
      </c:lineChart>
      <c:catAx>
        <c:axId val="1795477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6600"/>
        <c:crosses val="autoZero"/>
        <c:auto val="1"/>
        <c:lblAlgn val="ctr"/>
        <c:lblOffset val="100"/>
        <c:noMultiLvlLbl val="0"/>
      </c:catAx>
      <c:valAx>
        <c:axId val="179546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7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79552088"/>
        <c:axId val="179552480"/>
      </c:lineChart>
      <c:catAx>
        <c:axId val="1795520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52480"/>
        <c:crosses val="autoZero"/>
        <c:auto val="1"/>
        <c:lblAlgn val="ctr"/>
        <c:lblOffset val="100"/>
        <c:noMultiLvlLbl val="0"/>
      </c:catAx>
      <c:valAx>
        <c:axId val="1795524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52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79546992"/>
        <c:axId val="179550128"/>
      </c:lineChart>
      <c:catAx>
        <c:axId val="179546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50128"/>
        <c:crosses val="autoZero"/>
        <c:auto val="1"/>
        <c:lblAlgn val="ctr"/>
        <c:lblOffset val="100"/>
        <c:noMultiLvlLbl val="0"/>
      </c:catAx>
      <c:valAx>
        <c:axId val="1795501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6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79550912"/>
        <c:axId val="179545424"/>
      </c:lineChart>
      <c:catAx>
        <c:axId val="1795509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5424"/>
        <c:crosses val="autoZero"/>
        <c:auto val="1"/>
        <c:lblAlgn val="ctr"/>
        <c:lblOffset val="100"/>
        <c:noMultiLvlLbl val="0"/>
      </c:catAx>
      <c:valAx>
        <c:axId val="179545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5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179545816"/>
        <c:axId val="179546208"/>
      </c:lineChart>
      <c:catAx>
        <c:axId val="1795458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6208"/>
        <c:crosses val="autoZero"/>
        <c:auto val="1"/>
        <c:lblAlgn val="ctr"/>
        <c:lblOffset val="100"/>
        <c:noMultiLvlLbl val="0"/>
      </c:catAx>
      <c:valAx>
        <c:axId val="17954620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795458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839528"/>
        <c:axId val="318836784"/>
      </c:lineChart>
      <c:catAx>
        <c:axId val="31883952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6784"/>
        <c:crosses val="autoZero"/>
        <c:auto val="1"/>
        <c:lblAlgn val="ctr"/>
        <c:lblOffset val="100"/>
        <c:noMultiLvlLbl val="0"/>
      </c:catAx>
      <c:valAx>
        <c:axId val="3188367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95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839920"/>
        <c:axId val="318837568"/>
      </c:lineChart>
      <c:catAx>
        <c:axId val="31883992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7568"/>
        <c:crosses val="autoZero"/>
        <c:auto val="1"/>
        <c:lblAlgn val="ctr"/>
        <c:lblOffset val="100"/>
        <c:noMultiLvlLbl val="0"/>
      </c:catAx>
      <c:valAx>
        <c:axId val="318837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99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833648"/>
        <c:axId val="318837960"/>
      </c:lineChart>
      <c:catAx>
        <c:axId val="3188336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7960"/>
        <c:crosses val="autoZero"/>
        <c:auto val="1"/>
        <c:lblAlgn val="ctr"/>
        <c:lblOffset val="100"/>
        <c:noMultiLvlLbl val="0"/>
      </c:catAx>
      <c:valAx>
        <c:axId val="3188379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36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18836000"/>
        <c:axId val="318834432"/>
      </c:lineChart>
      <c:catAx>
        <c:axId val="318836000"/>
        <c:scaling>
          <c:orientation val="minMax"/>
        </c:scaling>
        <c:delete val="1"/>
        <c:axPos val="b"/>
        <c:majorTickMark val="none"/>
        <c:minorTickMark val="none"/>
        <c:tickLblPos val="nextTo"/>
        <c:crossAx val="318834432"/>
        <c:crosses val="autoZero"/>
        <c:auto val="1"/>
        <c:lblAlgn val="ctr"/>
        <c:lblOffset val="100"/>
        <c:noMultiLvlLbl val="0"/>
      </c:catAx>
      <c:valAx>
        <c:axId val="318834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8836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18838352"/>
        <c:axId val="318834824"/>
      </c:lineChart>
      <c:catAx>
        <c:axId val="318838352"/>
        <c:scaling>
          <c:orientation val="minMax"/>
        </c:scaling>
        <c:delete val="1"/>
        <c:axPos val="b"/>
        <c:majorTickMark val="none"/>
        <c:minorTickMark val="none"/>
        <c:tickLblPos val="nextTo"/>
        <c:crossAx val="318834824"/>
        <c:crosses val="autoZero"/>
        <c:auto val="1"/>
        <c:lblAlgn val="ctr"/>
        <c:lblOffset val="100"/>
        <c:noMultiLvlLbl val="0"/>
      </c:catAx>
      <c:valAx>
        <c:axId val="3188348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88383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18838744"/>
        <c:axId val="318832864"/>
      </c:lineChart>
      <c:catAx>
        <c:axId val="318838744"/>
        <c:scaling>
          <c:orientation val="minMax"/>
        </c:scaling>
        <c:delete val="1"/>
        <c:axPos val="b"/>
        <c:majorTickMark val="none"/>
        <c:minorTickMark val="none"/>
        <c:tickLblPos val="nextTo"/>
        <c:crossAx val="318832864"/>
        <c:crosses val="autoZero"/>
        <c:auto val="1"/>
        <c:lblAlgn val="ctr"/>
        <c:lblOffset val="100"/>
        <c:noMultiLvlLbl val="0"/>
      </c:catAx>
      <c:valAx>
        <c:axId val="3188328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883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8839136"/>
        <c:axId val="318840312"/>
      </c:lineChart>
      <c:catAx>
        <c:axId val="31883913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40312"/>
        <c:crosses val="autoZero"/>
        <c:auto val="1"/>
        <c:lblAlgn val="ctr"/>
        <c:lblOffset val="100"/>
        <c:noMultiLvlLbl val="0"/>
      </c:catAx>
      <c:valAx>
        <c:axId val="3188403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839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3960"/>
        <c:axId val="341887096"/>
      </c:lineChart>
      <c:catAx>
        <c:axId val="3418839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7096"/>
        <c:crosses val="autoZero"/>
        <c:auto val="1"/>
        <c:lblAlgn val="ctr"/>
        <c:lblOffset val="100"/>
        <c:noMultiLvlLbl val="0"/>
      </c:catAx>
      <c:valAx>
        <c:axId val="34188709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3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6312"/>
        <c:axId val="341885136"/>
      </c:lineChart>
      <c:catAx>
        <c:axId val="34188631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5136"/>
        <c:crosses val="autoZero"/>
        <c:auto val="1"/>
        <c:lblAlgn val="ctr"/>
        <c:lblOffset val="100"/>
        <c:noMultiLvlLbl val="0"/>
      </c:catAx>
      <c:valAx>
        <c:axId val="3418851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6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1216"/>
        <c:axId val="341883176"/>
      </c:lineChart>
      <c:catAx>
        <c:axId val="3418812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3176"/>
        <c:crosses val="autoZero"/>
        <c:auto val="1"/>
        <c:lblAlgn val="ctr"/>
        <c:lblOffset val="100"/>
        <c:noMultiLvlLbl val="0"/>
      </c:catAx>
      <c:valAx>
        <c:axId val="34188317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12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2000"/>
        <c:axId val="341883568"/>
      </c:lineChart>
      <c:catAx>
        <c:axId val="3418820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3568"/>
        <c:crosses val="autoZero"/>
        <c:auto val="1"/>
        <c:lblAlgn val="ctr"/>
        <c:lblOffset val="100"/>
        <c:noMultiLvlLbl val="0"/>
      </c:catAx>
      <c:valAx>
        <c:axId val="3418835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7488"/>
        <c:axId val="341885528"/>
      </c:lineChart>
      <c:catAx>
        <c:axId val="3418874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5528"/>
        <c:crosses val="autoZero"/>
        <c:auto val="1"/>
        <c:lblAlgn val="ctr"/>
        <c:lblOffset val="100"/>
        <c:noMultiLvlLbl val="0"/>
      </c:catAx>
      <c:valAx>
        <c:axId val="34188552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7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7880"/>
        <c:axId val="341888272"/>
      </c:lineChart>
      <c:catAx>
        <c:axId val="34188788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8272"/>
        <c:crosses val="autoZero"/>
        <c:auto val="1"/>
        <c:lblAlgn val="ctr"/>
        <c:lblOffset val="100"/>
        <c:noMultiLvlLbl val="0"/>
      </c:catAx>
      <c:valAx>
        <c:axId val="3418882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7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1882784"/>
        <c:axId val="339690768"/>
      </c:lineChart>
      <c:catAx>
        <c:axId val="34188278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0768"/>
        <c:crosses val="autoZero"/>
        <c:auto val="1"/>
        <c:lblAlgn val="ctr"/>
        <c:lblOffset val="100"/>
        <c:noMultiLvlLbl val="0"/>
      </c:catAx>
      <c:valAx>
        <c:axId val="3396907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1882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9689592"/>
        <c:axId val="339693512"/>
      </c:lineChart>
      <c:catAx>
        <c:axId val="3396895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3512"/>
        <c:crosses val="autoZero"/>
        <c:auto val="1"/>
        <c:lblAlgn val="ctr"/>
        <c:lblOffset val="100"/>
        <c:noMultiLvlLbl val="0"/>
      </c:catAx>
      <c:valAx>
        <c:axId val="33969351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89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9691160"/>
        <c:axId val="339695472"/>
      </c:lineChart>
      <c:catAx>
        <c:axId val="33969116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5472"/>
        <c:crosses val="autoZero"/>
        <c:auto val="1"/>
        <c:lblAlgn val="ctr"/>
        <c:lblOffset val="100"/>
        <c:noMultiLvlLbl val="0"/>
      </c:catAx>
      <c:valAx>
        <c:axId val="33969547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11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9691944"/>
        <c:axId val="339689984"/>
      </c:lineChart>
      <c:catAx>
        <c:axId val="339691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89984"/>
        <c:crosses val="autoZero"/>
        <c:auto val="1"/>
        <c:lblAlgn val="ctr"/>
        <c:lblOffset val="100"/>
        <c:noMultiLvlLbl val="0"/>
      </c:catAx>
      <c:valAx>
        <c:axId val="3396899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19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39693904"/>
        <c:axId val="339694688"/>
      </c:lineChart>
      <c:catAx>
        <c:axId val="3396939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4688"/>
        <c:crosses val="autoZero"/>
        <c:auto val="1"/>
        <c:lblAlgn val="ctr"/>
        <c:lblOffset val="100"/>
        <c:noMultiLvlLbl val="0"/>
      </c:catAx>
      <c:valAx>
        <c:axId val="3396946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396939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39693120"/>
        <c:axId val="339696648"/>
      </c:lineChart>
      <c:catAx>
        <c:axId val="339693120"/>
        <c:scaling>
          <c:orientation val="minMax"/>
        </c:scaling>
        <c:delete val="1"/>
        <c:axPos val="b"/>
        <c:majorTickMark val="none"/>
        <c:minorTickMark val="none"/>
        <c:tickLblPos val="nextTo"/>
        <c:crossAx val="339696648"/>
        <c:crosses val="autoZero"/>
        <c:auto val="1"/>
        <c:lblAlgn val="ctr"/>
        <c:lblOffset val="100"/>
        <c:noMultiLvlLbl val="0"/>
      </c:catAx>
      <c:valAx>
        <c:axId val="339696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96931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Inclinaison (élévation + / chute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(1)'!$D$4:$D$104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(1)'!$E$4:$E$104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0"/>
            <c:plus>
              <c:numRef>
                <c:f>'Examen - norm (1)'!$D$109:$D$209</c:f>
                <c:numCache>
                  <c:formatCode>General</c:formatCode>
                  <c:ptCount val="101"/>
                </c:numCache>
              </c:numRef>
            </c:plus>
            <c:minus>
              <c:numRef>
                <c:f>'Examen - norm (1)'!$D$109:$D$209</c:f>
                <c:numCache>
                  <c:formatCode>General</c:formatCode>
                  <c:ptCount val="101"/>
                </c:numCache>
              </c:numRef>
            </c:minus>
            <c:spPr>
              <a:noFill/>
              <a:ln w="9525" cap="flat" cmpd="sng" algn="ctr">
                <a:solidFill>
                  <a:schemeClr val="bg1">
                    <a:lumMod val="85000"/>
                  </a:schemeClr>
                </a:solidFill>
                <a:round/>
              </a:ln>
              <a:effectLst/>
            </c:spPr>
          </c:errBars>
          <c:val>
            <c:numRef>
              <c:f>'Examen - norm (1)'!$D$4:$D$104</c:f>
              <c:numCache>
                <c:formatCode>General</c:formatCode>
                <c:ptCount val="101"/>
              </c:numCache>
            </c:numRef>
          </c:val>
          <c:smooth val="0"/>
        </c:ser>
        <c:dLbls>
          <c:showLegendKey val="0"/>
          <c:showVal val="0"/>
          <c:showCatName val="0"/>
          <c:showSerName val="0"/>
          <c:showPercent val="0"/>
          <c:showBubbleSize val="0"/>
        </c:dLbls>
        <c:smooth val="0"/>
        <c:axId val="339695864"/>
        <c:axId val="339696256"/>
      </c:lineChart>
      <c:catAx>
        <c:axId val="339695864"/>
        <c:scaling>
          <c:orientation val="minMax"/>
        </c:scaling>
        <c:delete val="1"/>
        <c:axPos val="b"/>
        <c:majorTickMark val="none"/>
        <c:minorTickMark val="none"/>
        <c:tickLblPos val="nextTo"/>
        <c:crossAx val="339696256"/>
        <c:crosses val="autoZero"/>
        <c:auto val="1"/>
        <c:lblAlgn val="ctr"/>
        <c:lblOffset val="100"/>
        <c:noMultiLvlLbl val="0"/>
      </c:catAx>
      <c:valAx>
        <c:axId val="3396962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396958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Rotation (externe + / interne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(1)'!$F$4:$F$104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(1)'!$G$4:$G$104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(1)'!$F$109:$F$209</c:f>
                <c:numCache>
                  <c:formatCode>General</c:formatCode>
                  <c:ptCount val="101"/>
                </c:numCache>
              </c:numRef>
            </c:plus>
            <c:minus>
              <c:numRef>
                <c:f>'Examen - norm (1)'!$F$109:$F$209</c:f>
                <c:numCache>
                  <c:formatCode>General</c:formatCode>
                  <c:ptCount val="101"/>
                </c:numCache>
              </c:numRef>
            </c:minus>
            <c:spPr>
              <a:noFill/>
              <a:ln w="9525" cap="flat" cmpd="sng" algn="ctr">
                <a:solidFill>
                  <a:schemeClr val="bg2"/>
                </a:solidFill>
                <a:round/>
              </a:ln>
              <a:effectLst/>
            </c:spPr>
          </c:errBars>
          <c:val>
            <c:numRef>
              <c:f>'Examen - norm (1)'!$F$4:$F$104</c:f>
              <c:numCache>
                <c:formatCode>General</c:formatCode>
                <c:ptCount val="101"/>
              </c:numCache>
            </c:numRef>
          </c:val>
          <c:smooth val="0"/>
        </c:ser>
        <c:dLbls>
          <c:showLegendKey val="0"/>
          <c:showVal val="0"/>
          <c:showCatName val="0"/>
          <c:showSerName val="0"/>
          <c:showPercent val="0"/>
          <c:showBubbleSize val="0"/>
        </c:dLbls>
        <c:smooth val="0"/>
        <c:axId val="319226328"/>
        <c:axId val="319225936"/>
      </c:lineChart>
      <c:catAx>
        <c:axId val="319226328"/>
        <c:scaling>
          <c:orientation val="minMax"/>
        </c:scaling>
        <c:delete val="1"/>
        <c:axPos val="b"/>
        <c:majorTickMark val="none"/>
        <c:minorTickMark val="none"/>
        <c:tickLblPos val="nextTo"/>
        <c:crossAx val="319225936"/>
        <c:crosses val="autoZero"/>
        <c:auto val="1"/>
        <c:lblAlgn val="ctr"/>
        <c:lblOffset val="100"/>
        <c:noMultiLvlLbl val="0"/>
      </c:catAx>
      <c:valAx>
        <c:axId val="319225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192263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32992"/>
        <c:axId val="319228680"/>
      </c:lineChart>
      <c:catAx>
        <c:axId val="31923299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8680"/>
        <c:crosses val="autoZero"/>
        <c:auto val="1"/>
        <c:lblAlgn val="ctr"/>
        <c:lblOffset val="100"/>
        <c:noMultiLvlLbl val="0"/>
      </c:catAx>
      <c:valAx>
        <c:axId val="31922868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29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32600"/>
        <c:axId val="319231816"/>
      </c:lineChart>
      <c:catAx>
        <c:axId val="319232600"/>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1816"/>
        <c:crosses val="autoZero"/>
        <c:auto val="1"/>
        <c:lblAlgn val="ctr"/>
        <c:lblOffset val="100"/>
        <c:noMultiLvlLbl val="0"/>
      </c:catAx>
      <c:valAx>
        <c:axId val="31923181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2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32208"/>
        <c:axId val="319230640"/>
      </c:lineChart>
      <c:catAx>
        <c:axId val="31923220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0640"/>
        <c:crosses val="autoZero"/>
        <c:auto val="1"/>
        <c:lblAlgn val="ctr"/>
        <c:lblOffset val="100"/>
        <c:noMultiLvlLbl val="0"/>
      </c:catAx>
      <c:valAx>
        <c:axId val="31923064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2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29464"/>
        <c:axId val="319230248"/>
      </c:lineChart>
      <c:catAx>
        <c:axId val="319229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30248"/>
        <c:crosses val="autoZero"/>
        <c:auto val="1"/>
        <c:lblAlgn val="ctr"/>
        <c:lblOffset val="100"/>
        <c:noMultiLvlLbl val="0"/>
      </c:catAx>
      <c:valAx>
        <c:axId val="31923024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9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29856"/>
        <c:axId val="319226720"/>
      </c:lineChart>
      <c:catAx>
        <c:axId val="31922985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6720"/>
        <c:crosses val="autoZero"/>
        <c:auto val="1"/>
        <c:lblAlgn val="ctr"/>
        <c:lblOffset val="100"/>
        <c:noMultiLvlLbl val="0"/>
      </c:catAx>
      <c:valAx>
        <c:axId val="31922672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985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19227504"/>
        <c:axId val="319228288"/>
      </c:lineChart>
      <c:catAx>
        <c:axId val="3192275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8288"/>
        <c:crosses val="autoZero"/>
        <c:auto val="1"/>
        <c:lblAlgn val="ctr"/>
        <c:lblOffset val="100"/>
        <c:noMultiLvlLbl val="0"/>
      </c:catAx>
      <c:valAx>
        <c:axId val="31922828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9227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2248"/>
        <c:axId val="340965384"/>
      </c:lineChart>
      <c:catAx>
        <c:axId val="34096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5384"/>
        <c:crosses val="autoZero"/>
        <c:auto val="1"/>
        <c:lblAlgn val="ctr"/>
        <c:lblOffset val="100"/>
        <c:noMultiLvlLbl val="0"/>
      </c:catAx>
      <c:valAx>
        <c:axId val="34096538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2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5776"/>
        <c:axId val="340964992"/>
      </c:lineChart>
      <c:catAx>
        <c:axId val="34096577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4992"/>
        <c:crosses val="autoZero"/>
        <c:auto val="1"/>
        <c:lblAlgn val="ctr"/>
        <c:lblOffset val="100"/>
        <c:noMultiLvlLbl val="0"/>
      </c:catAx>
      <c:valAx>
        <c:axId val="340964992"/>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5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6952"/>
        <c:axId val="340966168"/>
      </c:lineChart>
      <c:catAx>
        <c:axId val="34096695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6168"/>
        <c:crosses val="autoZero"/>
        <c:auto val="1"/>
        <c:lblAlgn val="ctr"/>
        <c:lblOffset val="100"/>
        <c:noMultiLvlLbl val="0"/>
      </c:catAx>
      <c:valAx>
        <c:axId val="340966168"/>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69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3032"/>
        <c:axId val="340964600"/>
      </c:lineChart>
      <c:catAx>
        <c:axId val="34096303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4600"/>
        <c:crosses val="autoZero"/>
        <c:auto val="1"/>
        <c:lblAlgn val="ctr"/>
        <c:lblOffset val="100"/>
        <c:noMultiLvlLbl val="0"/>
      </c:catAx>
      <c:valAx>
        <c:axId val="34096460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3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0288"/>
        <c:axId val="340966560"/>
      </c:lineChart>
      <c:catAx>
        <c:axId val="34096028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6560"/>
        <c:crosses val="autoZero"/>
        <c:auto val="1"/>
        <c:lblAlgn val="ctr"/>
        <c:lblOffset val="100"/>
        <c:noMultiLvlLbl val="0"/>
      </c:catAx>
      <c:valAx>
        <c:axId val="340966560"/>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0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dLbls>
          <c:showLegendKey val="0"/>
          <c:showVal val="0"/>
          <c:showCatName val="0"/>
          <c:showSerName val="0"/>
          <c:showPercent val="0"/>
          <c:showBubbleSize val="0"/>
        </c:dLbls>
        <c:marker val="1"/>
        <c:smooth val="0"/>
        <c:axId val="340961464"/>
        <c:axId val="340967736"/>
      </c:lineChart>
      <c:catAx>
        <c:axId val="34096146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7736"/>
        <c:crosses val="autoZero"/>
        <c:auto val="1"/>
        <c:lblAlgn val="ctr"/>
        <c:lblOffset val="100"/>
        <c:noMultiLvlLbl val="0"/>
      </c:catAx>
      <c:valAx>
        <c:axId val="34096773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409614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r>
              <a:rPr lang="fr-FR" sz="700">
                <a:solidFill>
                  <a:sysClr val="windowText" lastClr="000000"/>
                </a:solidFill>
              </a:rPr>
              <a:t>Anteversion (+) / Retroversion (-) (°)</a:t>
            </a:r>
          </a:p>
        </c:rich>
      </c:tx>
      <c:overlay val="0"/>
      <c:spPr>
        <a:noFill/>
        <a:ln>
          <a:noFill/>
        </a:ln>
        <a:effectLst/>
      </c:spPr>
      <c:txPr>
        <a:bodyPr rot="0" spcFirstLastPara="1" vertOverflow="ellipsis" vert="horz" wrap="square" anchor="ctr" anchorCtr="1"/>
        <a:lstStyle/>
        <a:p>
          <a:pPr>
            <a:defRPr sz="700" b="0" i="0" u="none" strike="noStrike" kern="1200" spc="0" baseline="0">
              <a:solidFill>
                <a:sysClr val="windowText" lastClr="000000"/>
              </a:solidFill>
              <a:latin typeface="+mn-lt"/>
              <a:ea typeface="+mn-ea"/>
              <a:cs typeface="+mn-cs"/>
            </a:defRPr>
          </a:pPr>
          <a:endParaRPr lang="fr-FR"/>
        </a:p>
      </c:txPr>
    </c:title>
    <c:autoTitleDeleted val="0"/>
    <c:plotArea>
      <c:layout/>
      <c:lineChart>
        <c:grouping val="standard"/>
        <c:varyColors val="0"/>
        <c:ser>
          <c:idx val="0"/>
          <c:order val="0"/>
          <c:spPr>
            <a:ln w="25400" cap="rnd">
              <a:solidFill>
                <a:srgbClr val="FF0000"/>
              </a:solidFill>
              <a:round/>
            </a:ln>
            <a:effectLst/>
          </c:spPr>
          <c:marker>
            <c:symbol val="none"/>
          </c:marker>
          <c:val>
            <c:numRef>
              <c:f>'Examen - data (1)'!$B$4:$B$104</c:f>
              <c:numCache>
                <c:formatCode>General</c:formatCode>
                <c:ptCount val="101"/>
              </c:numCache>
            </c:numRef>
          </c:val>
          <c:smooth val="0"/>
        </c:ser>
        <c:ser>
          <c:idx val="1"/>
          <c:order val="1"/>
          <c:spPr>
            <a:ln w="25400" cap="rnd">
              <a:solidFill>
                <a:srgbClr val="0000C0"/>
              </a:solidFill>
              <a:round/>
            </a:ln>
            <a:effectLst/>
          </c:spPr>
          <c:marker>
            <c:symbol val="none"/>
          </c:marker>
          <c:val>
            <c:numRef>
              <c:f>'Examen - data (1)'!$C$4:$C$104</c:f>
              <c:numCache>
                <c:formatCode>General</c:formatCode>
                <c:ptCount val="101"/>
              </c:numCache>
            </c:numRef>
          </c:val>
          <c:smooth val="0"/>
        </c:ser>
        <c:ser>
          <c:idx val="2"/>
          <c:order val="2"/>
          <c:spPr>
            <a:ln w="25400" cap="rnd">
              <a:noFill/>
              <a:round/>
            </a:ln>
            <a:effectLst/>
          </c:spPr>
          <c:marker>
            <c:symbol val="none"/>
          </c:marker>
          <c:errBars>
            <c:errDir val="y"/>
            <c:errBarType val="both"/>
            <c:errValType val="cust"/>
            <c:noEndCap val="1"/>
            <c:plus>
              <c:numRef>
                <c:f>'Examen - norm (1)'!$B$109:$B$209</c:f>
                <c:numCache>
                  <c:formatCode>General</c:formatCode>
                  <c:ptCount val="101"/>
                </c:numCache>
              </c:numRef>
            </c:plus>
            <c:minus>
              <c:numRef>
                <c:f>'Examen - norm (1)'!$B$109:$B$209</c:f>
                <c:numCache>
                  <c:formatCode>General</c:formatCode>
                  <c:ptCount val="101"/>
                </c:numCache>
              </c:numRef>
            </c:minus>
            <c:spPr>
              <a:noFill/>
              <a:ln w="9525" cap="flat" cmpd="sng" algn="ctr">
                <a:solidFill>
                  <a:schemeClr val="bg2"/>
                </a:solidFill>
                <a:round/>
              </a:ln>
              <a:effectLst/>
            </c:spPr>
          </c:errBars>
          <c:val>
            <c:numRef>
              <c:f>'Examen - norm (1)'!$B$4:$B$104</c:f>
              <c:numCache>
                <c:formatCode>General</c:formatCode>
                <c:ptCount val="101"/>
              </c:numCache>
            </c:numRef>
          </c:val>
          <c:smooth val="0"/>
        </c:ser>
        <c:dLbls>
          <c:showLegendKey val="0"/>
          <c:showVal val="0"/>
          <c:showCatName val="0"/>
          <c:showSerName val="0"/>
          <c:showPercent val="0"/>
          <c:showBubbleSize val="0"/>
        </c:dLbls>
        <c:smooth val="0"/>
        <c:axId val="340964208"/>
        <c:axId val="341580360"/>
      </c:lineChart>
      <c:catAx>
        <c:axId val="340964208"/>
        <c:scaling>
          <c:orientation val="minMax"/>
        </c:scaling>
        <c:delete val="1"/>
        <c:axPos val="b"/>
        <c:majorTickMark val="none"/>
        <c:minorTickMark val="none"/>
        <c:tickLblPos val="nextTo"/>
        <c:crossAx val="341580360"/>
        <c:crosses val="autoZero"/>
        <c:auto val="1"/>
        <c:lblAlgn val="ctr"/>
        <c:lblOffset val="100"/>
        <c:noMultiLvlLbl val="0"/>
      </c:catAx>
      <c:valAx>
        <c:axId val="341580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mn-lt"/>
                <a:ea typeface="+mn-ea"/>
                <a:cs typeface="+mn-cs"/>
              </a:defRPr>
            </a:pPr>
            <a:endParaRPr lang="fr-FR"/>
          </a:p>
        </c:txPr>
        <c:crossAx val="3409642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4.xml.rels><?xml version="1.0" encoding="UTF-8" standalone="yes"?>
<Relationships xmlns="http://schemas.openxmlformats.org/package/2006/relationships"><Relationship Id="rId8" Type="http://schemas.openxmlformats.org/officeDocument/2006/relationships/chart" Target="../charts/chart23.xml"/><Relationship Id="rId13" Type="http://schemas.openxmlformats.org/officeDocument/2006/relationships/chart" Target="../charts/chart28.xml"/><Relationship Id="rId3" Type="http://schemas.openxmlformats.org/officeDocument/2006/relationships/chart" Target="../charts/chart18.xml"/><Relationship Id="rId7" Type="http://schemas.openxmlformats.org/officeDocument/2006/relationships/chart" Target="../charts/chart22.xml"/><Relationship Id="rId12" Type="http://schemas.openxmlformats.org/officeDocument/2006/relationships/chart" Target="../charts/chart27.xml"/><Relationship Id="rId2" Type="http://schemas.openxmlformats.org/officeDocument/2006/relationships/chart" Target="../charts/chart17.xml"/><Relationship Id="rId1" Type="http://schemas.openxmlformats.org/officeDocument/2006/relationships/chart" Target="../charts/chart16.xml"/><Relationship Id="rId6" Type="http://schemas.openxmlformats.org/officeDocument/2006/relationships/chart" Target="../charts/chart21.xml"/><Relationship Id="rId11" Type="http://schemas.openxmlformats.org/officeDocument/2006/relationships/chart" Target="../charts/chart26.xml"/><Relationship Id="rId5" Type="http://schemas.openxmlformats.org/officeDocument/2006/relationships/chart" Target="../charts/chart20.xml"/><Relationship Id="rId15" Type="http://schemas.openxmlformats.org/officeDocument/2006/relationships/chart" Target="../charts/chart30.xml"/><Relationship Id="rId10" Type="http://schemas.openxmlformats.org/officeDocument/2006/relationships/chart" Target="../charts/chart25.xml"/><Relationship Id="rId4" Type="http://schemas.openxmlformats.org/officeDocument/2006/relationships/chart" Target="../charts/chart19.xml"/><Relationship Id="rId9" Type="http://schemas.openxmlformats.org/officeDocument/2006/relationships/chart" Target="../charts/chart24.xml"/><Relationship Id="rId14" Type="http://schemas.openxmlformats.org/officeDocument/2006/relationships/chart" Target="../charts/chart2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38.xml"/><Relationship Id="rId13" Type="http://schemas.openxmlformats.org/officeDocument/2006/relationships/chart" Target="../charts/chart43.xml"/><Relationship Id="rId3" Type="http://schemas.openxmlformats.org/officeDocument/2006/relationships/chart" Target="../charts/chart33.xml"/><Relationship Id="rId7" Type="http://schemas.openxmlformats.org/officeDocument/2006/relationships/chart" Target="../charts/chart37.xml"/><Relationship Id="rId12" Type="http://schemas.openxmlformats.org/officeDocument/2006/relationships/chart" Target="../charts/chart42.xml"/><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11" Type="http://schemas.openxmlformats.org/officeDocument/2006/relationships/chart" Target="../charts/chart41.xml"/><Relationship Id="rId5" Type="http://schemas.openxmlformats.org/officeDocument/2006/relationships/chart" Target="../charts/chart35.xml"/><Relationship Id="rId15" Type="http://schemas.openxmlformats.org/officeDocument/2006/relationships/chart" Target="../charts/chart45.xml"/><Relationship Id="rId10" Type="http://schemas.openxmlformats.org/officeDocument/2006/relationships/chart" Target="../charts/chart40.xml"/><Relationship Id="rId4" Type="http://schemas.openxmlformats.org/officeDocument/2006/relationships/chart" Target="../charts/chart34.xml"/><Relationship Id="rId9" Type="http://schemas.openxmlformats.org/officeDocument/2006/relationships/chart" Target="../charts/chart39.xml"/><Relationship Id="rId14" Type="http://schemas.openxmlformats.org/officeDocument/2006/relationships/chart" Target="../charts/chart44.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1</xdr:row>
          <xdr:rowOff>0</xdr:rowOff>
        </xdr:from>
        <xdr:to>
          <xdr:col>14</xdr:col>
          <xdr:colOff>708660</xdr:colOff>
          <xdr:row>4</xdr:row>
          <xdr:rowOff>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Calibri"/>
                  <a:cs typeface="Calibri"/>
                </a:rPr>
                <a:t>IMPRIMER LE RAPPORT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175260</xdr:colOff>
      <xdr:row>4</xdr:row>
      <xdr:rowOff>91440</xdr:rowOff>
    </xdr:from>
    <xdr:to>
      <xdr:col>1</xdr:col>
      <xdr:colOff>175260</xdr:colOff>
      <xdr:row>5</xdr:row>
      <xdr:rowOff>106680</xdr:rowOff>
    </xdr:to>
    <xdr:sp macro="" textlink="">
      <xdr:nvSpPr>
        <xdr:cNvPr id="9260" name="AutoShape 44"/>
        <xdr:cNvSpPr>
          <a:spLocks noChangeShapeType="1"/>
        </xdr:cNvSpPr>
      </xdr:nvSpPr>
      <xdr:spPr bwMode="auto">
        <a:xfrm flipV="1">
          <a:off x="655320" y="73914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6</xdr:row>
      <xdr:rowOff>99060</xdr:rowOff>
    </xdr:from>
    <xdr:to>
      <xdr:col>1</xdr:col>
      <xdr:colOff>243840</xdr:colOff>
      <xdr:row>7</xdr:row>
      <xdr:rowOff>76200</xdr:rowOff>
    </xdr:to>
    <xdr:grpSp>
      <xdr:nvGrpSpPr>
        <xdr:cNvPr id="9256" name="Group 40"/>
        <xdr:cNvGrpSpPr>
          <a:grpSpLocks noChangeAspect="1"/>
        </xdr:cNvGrpSpPr>
      </xdr:nvGrpSpPr>
      <xdr:grpSpPr bwMode="auto">
        <a:xfrm>
          <a:off x="571500" y="1013460"/>
          <a:ext cx="152400" cy="152400"/>
          <a:chOff x="11144" y="1403"/>
          <a:chExt cx="225" cy="225"/>
        </a:xfrm>
      </xdr:grpSpPr>
      <xdr:sp macro="" textlink="">
        <xdr:nvSpPr>
          <xdr:cNvPr id="9259" name="Oval 43"/>
          <xdr:cNvSpPr>
            <a:spLocks noChangeAspect="1" noChangeArrowheads="1"/>
          </xdr:cNvSpPr>
        </xdr:nvSpPr>
        <xdr:spPr bwMode="auto">
          <a:xfrm>
            <a:off x="11144" y="1403"/>
            <a:ext cx="225" cy="225"/>
          </a:xfrm>
          <a:prstGeom prst="ellipse">
            <a:avLst/>
          </a:prstGeom>
          <a:solidFill>
            <a:srgbClr val="FFFFFF"/>
          </a:solidFill>
          <a:ln w="19050">
            <a:solidFill>
              <a:srgbClr val="000000"/>
            </a:solidFill>
            <a:round/>
            <a:headEnd/>
            <a:tailEnd/>
          </a:ln>
        </xdr:spPr>
      </xdr:sp>
      <xdr:sp macro="" textlink="">
        <xdr:nvSpPr>
          <xdr:cNvPr id="9258" name="AutoShape 42"/>
          <xdr:cNvSpPr>
            <a:spLocks noChangeAspect="1" noChangeShapeType="1"/>
          </xdr:cNvSpPr>
        </xdr:nvSpPr>
        <xdr:spPr bwMode="auto">
          <a:xfrm flipV="1">
            <a:off x="11180" y="1519"/>
            <a:ext cx="147" cy="2"/>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7" name="AutoShape 41"/>
          <xdr:cNvSpPr>
            <a:spLocks noChangeAspect="1" noChangeShapeType="1"/>
          </xdr:cNvSpPr>
        </xdr:nvSpPr>
        <xdr:spPr bwMode="auto">
          <a:xfrm flipH="1">
            <a:off x="11254" y="1435"/>
            <a:ext cx="1" cy="159"/>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8</xdr:row>
      <xdr:rowOff>106680</xdr:rowOff>
    </xdr:from>
    <xdr:to>
      <xdr:col>1</xdr:col>
      <xdr:colOff>259080</xdr:colOff>
      <xdr:row>8</xdr:row>
      <xdr:rowOff>106680</xdr:rowOff>
    </xdr:to>
    <xdr:sp macro="" textlink="">
      <xdr:nvSpPr>
        <xdr:cNvPr id="9255" name="AutoShape 39"/>
        <xdr:cNvSpPr>
          <a:spLocks noChangeShapeType="1"/>
        </xdr:cNvSpPr>
      </xdr:nvSpPr>
      <xdr:spPr bwMode="auto">
        <a:xfrm flipH="1">
          <a:off x="548640" y="1455420"/>
          <a:ext cx="190500" cy="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60960</xdr:colOff>
      <xdr:row>9</xdr:row>
      <xdr:rowOff>106680</xdr:rowOff>
    </xdr:from>
    <xdr:to>
      <xdr:col>1</xdr:col>
      <xdr:colOff>289560</xdr:colOff>
      <xdr:row>9</xdr:row>
      <xdr:rowOff>106680</xdr:rowOff>
    </xdr:to>
    <xdr:sp macro="" textlink="">
      <xdr:nvSpPr>
        <xdr:cNvPr id="9254" name="AutoShape 38"/>
        <xdr:cNvSpPr>
          <a:spLocks noChangeShapeType="1"/>
        </xdr:cNvSpPr>
      </xdr:nvSpPr>
      <xdr:spPr bwMode="auto">
        <a:xfrm flipH="1">
          <a:off x="541020" y="1546860"/>
          <a:ext cx="228600" cy="0"/>
        </a:xfrm>
        <a:prstGeom prst="straightConnector1">
          <a:avLst/>
        </a:prstGeom>
        <a:noFill/>
        <a:ln w="28575">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1</xdr:col>
      <xdr:colOff>91440</xdr:colOff>
      <xdr:row>10</xdr:row>
      <xdr:rowOff>106680</xdr:rowOff>
    </xdr:from>
    <xdr:to>
      <xdr:col>1</xdr:col>
      <xdr:colOff>259080</xdr:colOff>
      <xdr:row>10</xdr:row>
      <xdr:rowOff>289560</xdr:rowOff>
    </xdr:to>
    <xdr:grpSp>
      <xdr:nvGrpSpPr>
        <xdr:cNvPr id="9250" name="Group 34"/>
        <xdr:cNvGrpSpPr>
          <a:grpSpLocks/>
        </xdr:cNvGrpSpPr>
      </xdr:nvGrpSpPr>
      <xdr:grpSpPr bwMode="auto">
        <a:xfrm>
          <a:off x="571500" y="1729740"/>
          <a:ext cx="167640" cy="182880"/>
          <a:chOff x="2230" y="12069"/>
          <a:chExt cx="297" cy="294"/>
        </a:xfrm>
      </xdr:grpSpPr>
      <xdr:sp macro="" textlink="">
        <xdr:nvSpPr>
          <xdr:cNvPr id="9253" name="AutoShape 37"/>
          <xdr:cNvSpPr>
            <a:spLocks noChangeShapeType="1"/>
          </xdr:cNvSpPr>
        </xdr:nvSpPr>
        <xdr:spPr bwMode="auto">
          <a:xfrm flipV="1">
            <a:off x="2370" y="12074"/>
            <a:ext cx="1" cy="289"/>
          </a:xfrm>
          <a:prstGeom prst="straightConnector1">
            <a:avLst/>
          </a:prstGeom>
          <a:noFill/>
          <a:ln w="19050">
            <a:solidFill>
              <a:srgbClr val="000000"/>
            </a:solidFill>
            <a:round/>
            <a:headEnd type="triangle" w="med" len="med"/>
            <a:tailEnd type="triangle" w="med" len="med"/>
          </a:ln>
          <a:extLst>
            <a:ext uri="{909E8E84-426E-40DD-AFC4-6F175D3DCCD1}">
              <a14:hiddenFill xmlns:a14="http://schemas.microsoft.com/office/drawing/2010/main">
                <a:noFill/>
              </a14:hiddenFill>
            </a:ext>
          </a:extLst>
        </xdr:spPr>
      </xdr:sp>
      <xdr:sp macro="" textlink="">
        <xdr:nvSpPr>
          <xdr:cNvPr id="9252" name="AutoShape 36"/>
          <xdr:cNvSpPr>
            <a:spLocks noChangeShapeType="1"/>
          </xdr:cNvSpPr>
        </xdr:nvSpPr>
        <xdr:spPr bwMode="auto">
          <a:xfrm>
            <a:off x="2230" y="12069"/>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sp macro="" textlink="">
        <xdr:nvSpPr>
          <xdr:cNvPr id="9251" name="AutoShape 35"/>
          <xdr:cNvSpPr>
            <a:spLocks noChangeShapeType="1"/>
          </xdr:cNvSpPr>
        </xdr:nvSpPr>
        <xdr:spPr bwMode="auto">
          <a:xfrm>
            <a:off x="2241" y="12363"/>
            <a:ext cx="286" cy="0"/>
          </a:xfrm>
          <a:prstGeom prst="straightConnector1">
            <a:avLst/>
          </a:prstGeom>
          <a:noFill/>
          <a:ln w="19050">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1</xdr:col>
      <xdr:colOff>68580</xdr:colOff>
      <xdr:row>11</xdr:row>
      <xdr:rowOff>91440</xdr:rowOff>
    </xdr:from>
    <xdr:to>
      <xdr:col>1</xdr:col>
      <xdr:colOff>251460</xdr:colOff>
      <xdr:row>11</xdr:row>
      <xdr:rowOff>274320</xdr:rowOff>
    </xdr:to>
    <xdr:sp macro="" textlink="">
      <xdr:nvSpPr>
        <xdr:cNvPr id="9249" name="AutoShape 33"/>
        <xdr:cNvSpPr>
          <a:spLocks noChangeArrowheads="1"/>
        </xdr:cNvSpPr>
      </xdr:nvSpPr>
      <xdr:spPr bwMode="auto">
        <a:xfrm>
          <a:off x="548640" y="211836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1</xdr:col>
      <xdr:colOff>76200</xdr:colOff>
      <xdr:row>12</xdr:row>
      <xdr:rowOff>83820</xdr:rowOff>
    </xdr:from>
    <xdr:to>
      <xdr:col>1</xdr:col>
      <xdr:colOff>274320</xdr:colOff>
      <xdr:row>12</xdr:row>
      <xdr:rowOff>274320</xdr:rowOff>
    </xdr:to>
    <xdr:sp macro="" textlink="">
      <xdr:nvSpPr>
        <xdr:cNvPr id="9248" name="Freeform 32"/>
        <xdr:cNvSpPr>
          <a:spLocks noChangeAspect="1"/>
        </xdr:cNvSpPr>
      </xdr:nvSpPr>
      <xdr:spPr bwMode="auto">
        <a:xfrm>
          <a:off x="556260" y="2438400"/>
          <a:ext cx="198120" cy="19050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00"/>
        </a:solidFill>
        <a:ln w="9525">
          <a:solidFill>
            <a:srgbClr val="000000"/>
          </a:solidFill>
          <a:round/>
          <a:headEnd/>
          <a:tailEnd/>
        </a:ln>
      </xdr:spPr>
    </xdr:sp>
    <xdr:clientData/>
  </xdr:twoCellAnchor>
  <xdr:twoCellAnchor>
    <xdr:from>
      <xdr:col>1</xdr:col>
      <xdr:colOff>83820</xdr:colOff>
      <xdr:row>12</xdr:row>
      <xdr:rowOff>297180</xdr:rowOff>
    </xdr:from>
    <xdr:to>
      <xdr:col>1</xdr:col>
      <xdr:colOff>236220</xdr:colOff>
      <xdr:row>13</xdr:row>
      <xdr:rowOff>304800</xdr:rowOff>
    </xdr:to>
    <xdr:sp macro="" textlink="">
      <xdr:nvSpPr>
        <xdr:cNvPr id="9247" name="Text Box 31"/>
        <xdr:cNvSpPr txBox="1">
          <a:spLocks noChangeArrowheads="1"/>
        </xdr:cNvSpPr>
      </xdr:nvSpPr>
      <xdr:spPr bwMode="auto">
        <a:xfrm>
          <a:off x="563880" y="2651760"/>
          <a:ext cx="152400" cy="3352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0" tIns="0" rIns="0" bIns="0" anchor="t" upright="1"/>
        <a:lstStyle/>
        <a:p>
          <a:pPr algn="l" rtl="0">
            <a:defRPr sz="1000"/>
          </a:pPr>
          <a:r>
            <a:rPr lang="fr-FR" sz="2000" b="1" i="0" u="none" strike="noStrike" baseline="0">
              <a:solidFill>
                <a:srgbClr val="000000"/>
              </a:solidFill>
              <a:latin typeface="Arial Black"/>
            </a:rPr>
            <a:t>?</a:t>
          </a:r>
        </a:p>
      </xdr:txBody>
    </xdr:sp>
    <xdr:clientData/>
  </xdr:twoCellAnchor>
  <xdr:twoCellAnchor>
    <xdr:from>
      <xdr:col>1</xdr:col>
      <xdr:colOff>45720</xdr:colOff>
      <xdr:row>14</xdr:row>
      <xdr:rowOff>45720</xdr:rowOff>
    </xdr:from>
    <xdr:to>
      <xdr:col>1</xdr:col>
      <xdr:colOff>289560</xdr:colOff>
      <xdr:row>14</xdr:row>
      <xdr:rowOff>236220</xdr:rowOff>
    </xdr:to>
    <xdr:sp macro="" textlink="">
      <xdr:nvSpPr>
        <xdr:cNvPr id="9246" name="Oval 30"/>
        <xdr:cNvSpPr>
          <a:spLocks noChangeArrowheads="1"/>
        </xdr:cNvSpPr>
      </xdr:nvSpPr>
      <xdr:spPr bwMode="auto">
        <a:xfrm>
          <a:off x="525780" y="3307080"/>
          <a:ext cx="243840" cy="190500"/>
        </a:xfrm>
        <a:prstGeom prst="ellipse">
          <a:avLst/>
        </a:prstGeom>
        <a:solidFill>
          <a:srgbClr val="FFFFFF"/>
        </a:solidFill>
        <a:ln w="19050">
          <a:solidFill>
            <a:srgbClr val="000000"/>
          </a:solidFill>
          <a:round/>
          <a:headEnd/>
          <a:tailEnd/>
        </a:ln>
      </xdr:spPr>
    </xdr:sp>
    <xdr:clientData/>
  </xdr:twoCellAnchor>
  <xdr:twoCellAnchor>
    <xdr:from>
      <xdr:col>4</xdr:col>
      <xdr:colOff>182880</xdr:colOff>
      <xdr:row>4</xdr:row>
      <xdr:rowOff>99060</xdr:rowOff>
    </xdr:from>
    <xdr:to>
      <xdr:col>4</xdr:col>
      <xdr:colOff>182880</xdr:colOff>
      <xdr:row>5</xdr:row>
      <xdr:rowOff>114300</xdr:rowOff>
    </xdr:to>
    <xdr:sp macro="" textlink="">
      <xdr:nvSpPr>
        <xdr:cNvPr id="9275" name="AutoShape 59"/>
        <xdr:cNvSpPr>
          <a:spLocks noChangeShapeType="1"/>
        </xdr:cNvSpPr>
      </xdr:nvSpPr>
      <xdr:spPr bwMode="auto">
        <a:xfrm>
          <a:off x="2537460" y="746760"/>
          <a:ext cx="0" cy="190500"/>
        </a:xfrm>
        <a:prstGeom prst="straightConnector1">
          <a:avLst/>
        </a:prstGeom>
        <a:noFill/>
        <a:ln w="2857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xdr:col>
      <xdr:colOff>114300</xdr:colOff>
      <xdr:row>6</xdr:row>
      <xdr:rowOff>106680</xdr:rowOff>
    </xdr:from>
    <xdr:to>
      <xdr:col>4</xdr:col>
      <xdr:colOff>254726</xdr:colOff>
      <xdr:row>7</xdr:row>
      <xdr:rowOff>68580</xdr:rowOff>
    </xdr:to>
    <xdr:grpSp>
      <xdr:nvGrpSpPr>
        <xdr:cNvPr id="174" name="Group 50"/>
        <xdr:cNvGrpSpPr>
          <a:grpSpLocks/>
        </xdr:cNvGrpSpPr>
      </xdr:nvGrpSpPr>
      <xdr:grpSpPr bwMode="auto">
        <a:xfrm>
          <a:off x="2468880" y="1021080"/>
          <a:ext cx="140426" cy="137160"/>
          <a:chOff x="547" y="1763"/>
          <a:chExt cx="225" cy="225"/>
        </a:xfrm>
      </xdr:grpSpPr>
      <xdr:sp macro="" textlink="">
        <xdr:nvSpPr>
          <xdr:cNvPr id="175" name="Oval 51"/>
          <xdr:cNvSpPr>
            <a:spLocks noChangeArrowheads="1"/>
          </xdr:cNvSpPr>
        </xdr:nvSpPr>
        <xdr:spPr bwMode="auto">
          <a:xfrm>
            <a:off x="547" y="1763"/>
            <a:ext cx="225" cy="225"/>
          </a:xfrm>
          <a:prstGeom prst="ellipse">
            <a:avLst/>
          </a:prstGeom>
          <a:solidFill>
            <a:srgbClr val="FFFFFF"/>
          </a:solidFill>
          <a:ln w="19050">
            <a:solidFill>
              <a:sysClr val="windowText" lastClr="000000"/>
            </a:solidFill>
            <a:round/>
            <a:headEnd/>
            <a:tailEnd/>
          </a:ln>
        </xdr:spPr>
      </xdr:sp>
      <xdr:cxnSp macro="">
        <xdr:nvCxnSpPr>
          <xdr:cNvPr id="176" name="AutoShape 52"/>
          <xdr:cNvCxnSpPr>
            <a:cxnSpLocks noChangeShapeType="1"/>
          </xdr:cNvCxnSpPr>
        </xdr:nvCxnSpPr>
        <xdr:spPr bwMode="auto">
          <a:xfrm flipV="1">
            <a:off x="592" y="1873"/>
            <a:ext cx="135" cy="2"/>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grpSp>
    <xdr:clientData/>
  </xdr:twoCellAnchor>
  <xdr:twoCellAnchor>
    <xdr:from>
      <xdr:col>4</xdr:col>
      <xdr:colOff>76200</xdr:colOff>
      <xdr:row>8</xdr:row>
      <xdr:rowOff>99060</xdr:rowOff>
    </xdr:from>
    <xdr:to>
      <xdr:col>4</xdr:col>
      <xdr:colOff>281940</xdr:colOff>
      <xdr:row>8</xdr:row>
      <xdr:rowOff>99060</xdr:rowOff>
    </xdr:to>
    <xdr:cxnSp macro="">
      <xdr:nvCxnSpPr>
        <xdr:cNvPr id="177" name="AutoShape 68"/>
        <xdr:cNvCxnSpPr>
          <a:cxnSpLocks noChangeShapeType="1"/>
        </xdr:cNvCxnSpPr>
      </xdr:nvCxnSpPr>
      <xdr:spPr bwMode="auto">
        <a:xfrm rot="5400000" flipV="1">
          <a:off x="2533650" y="1344930"/>
          <a:ext cx="0" cy="205740"/>
        </a:xfrm>
        <a:prstGeom prst="straightConnector1">
          <a:avLst/>
        </a:prstGeom>
        <a:noFill/>
        <a:ln w="28575">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lientData/>
  </xdr:twoCellAnchor>
  <xdr:twoCellAnchor>
    <xdr:from>
      <xdr:col>4</xdr:col>
      <xdr:colOff>83820</xdr:colOff>
      <xdr:row>10</xdr:row>
      <xdr:rowOff>60960</xdr:rowOff>
    </xdr:from>
    <xdr:to>
      <xdr:col>4</xdr:col>
      <xdr:colOff>266700</xdr:colOff>
      <xdr:row>10</xdr:row>
      <xdr:rowOff>320626</xdr:rowOff>
    </xdr:to>
    <xdr:grpSp>
      <xdr:nvGrpSpPr>
        <xdr:cNvPr id="178" name="Group 18"/>
        <xdr:cNvGrpSpPr>
          <a:grpSpLocks/>
        </xdr:cNvGrpSpPr>
      </xdr:nvGrpSpPr>
      <xdr:grpSpPr bwMode="auto">
        <a:xfrm>
          <a:off x="2438400" y="1684020"/>
          <a:ext cx="182880" cy="259666"/>
          <a:chOff x="1860" y="11974"/>
          <a:chExt cx="286" cy="452"/>
        </a:xfrm>
      </xdr:grpSpPr>
      <xdr:cxnSp macro="">
        <xdr:nvCxnSpPr>
          <xdr:cNvPr id="179" name="AutoShape 19"/>
          <xdr:cNvCxnSpPr>
            <a:cxnSpLocks noChangeShapeType="1"/>
          </xdr:cNvCxnSpPr>
        </xdr:nvCxnSpPr>
        <xdr:spPr bwMode="auto">
          <a:xfrm>
            <a:off x="1860" y="1214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0" name="AutoShape 20"/>
          <xdr:cNvCxnSpPr>
            <a:cxnSpLocks noChangeShapeType="1"/>
          </xdr:cNvCxnSpPr>
        </xdr:nvCxnSpPr>
        <xdr:spPr bwMode="auto">
          <a:xfrm>
            <a:off x="1860" y="12260"/>
            <a:ext cx="286" cy="0"/>
          </a:xfrm>
          <a:prstGeom prst="straightConnector1">
            <a:avLst/>
          </a:prstGeom>
          <a:noFill/>
          <a:ln w="19050">
            <a:solidFill>
              <a:sysClr val="windowText" lastClr="000000"/>
            </a:solidFill>
            <a:round/>
            <a:headEnd/>
            <a:tailEnd/>
          </a:ln>
          <a:extLst>
            <a:ext uri="{909E8E84-426E-40DD-AFC4-6F175D3DCCD1}">
              <a14:hiddenFill xmlns:a14="http://schemas.microsoft.com/office/drawing/2010/main">
                <a:noFill/>
              </a14:hiddenFill>
            </a:ext>
          </a:extLst>
        </xdr:spPr>
      </xdr:cxnSp>
      <xdr:cxnSp macro="">
        <xdr:nvCxnSpPr>
          <xdr:cNvPr id="181" name="AutoShape 21"/>
          <xdr:cNvCxnSpPr>
            <a:cxnSpLocks noChangeShapeType="1"/>
          </xdr:cNvCxnSpPr>
        </xdr:nvCxnSpPr>
        <xdr:spPr bwMode="auto">
          <a:xfrm>
            <a:off x="2003" y="11974"/>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cxnSp macro="">
        <xdr:nvCxnSpPr>
          <xdr:cNvPr id="182" name="AutoShape 22"/>
          <xdr:cNvCxnSpPr>
            <a:cxnSpLocks noChangeShapeType="1"/>
          </xdr:cNvCxnSpPr>
        </xdr:nvCxnSpPr>
        <xdr:spPr bwMode="auto">
          <a:xfrm flipV="1">
            <a:off x="2003" y="12260"/>
            <a:ext cx="0" cy="166"/>
          </a:xfrm>
          <a:prstGeom prst="straightConnector1">
            <a:avLst/>
          </a:prstGeom>
          <a:noFill/>
          <a:ln w="19050">
            <a:solidFill>
              <a:sysClr val="windowText" lastClr="000000"/>
            </a:solidFill>
            <a:round/>
            <a:headEnd/>
            <a:tailEnd type="triangle" w="med" len="med"/>
          </a:ln>
          <a:extLst>
            <a:ext uri="{909E8E84-426E-40DD-AFC4-6F175D3DCCD1}">
              <a14:hiddenFill xmlns:a14="http://schemas.microsoft.com/office/drawing/2010/main">
                <a:noFill/>
              </a14:hiddenFill>
            </a:ext>
          </a:extLst>
        </xdr:spPr>
      </xdr:cxnSp>
    </xdr:grpSp>
    <xdr:clientData/>
  </xdr:twoCellAnchor>
  <xdr:twoCellAnchor>
    <xdr:from>
      <xdr:col>4</xdr:col>
      <xdr:colOff>68580</xdr:colOff>
      <xdr:row>11</xdr:row>
      <xdr:rowOff>83820</xdr:rowOff>
    </xdr:from>
    <xdr:to>
      <xdr:col>4</xdr:col>
      <xdr:colOff>251460</xdr:colOff>
      <xdr:row>11</xdr:row>
      <xdr:rowOff>266700</xdr:rowOff>
    </xdr:to>
    <xdr:sp macro="" textlink="">
      <xdr:nvSpPr>
        <xdr:cNvPr id="184" name="AutoShape 33"/>
        <xdr:cNvSpPr>
          <a:spLocks noChangeArrowheads="1"/>
        </xdr:cNvSpPr>
      </xdr:nvSpPr>
      <xdr:spPr bwMode="auto">
        <a:xfrm flipH="1">
          <a:off x="2423160" y="2110740"/>
          <a:ext cx="182880" cy="182880"/>
        </a:xfrm>
        <a:prstGeom prst="triangle">
          <a:avLst>
            <a:gd name="adj" fmla="val 92282"/>
          </a:avLst>
        </a:prstGeom>
        <a:solidFill>
          <a:srgbClr val="FFFFFF"/>
        </a:solidFill>
        <a:ln w="19050">
          <a:solidFill>
            <a:srgbClr val="000000"/>
          </a:solidFill>
          <a:miter lim="800000"/>
          <a:headEnd/>
          <a:tailEnd/>
        </a:ln>
      </xdr:spPr>
    </xdr:sp>
    <xdr:clientData/>
  </xdr:twoCellAnchor>
  <xdr:twoCellAnchor>
    <xdr:from>
      <xdr:col>4</xdr:col>
      <xdr:colOff>22860</xdr:colOff>
      <xdr:row>9</xdr:row>
      <xdr:rowOff>106680</xdr:rowOff>
    </xdr:from>
    <xdr:to>
      <xdr:col>4</xdr:col>
      <xdr:colOff>319261</xdr:colOff>
      <xdr:row>9</xdr:row>
      <xdr:rowOff>106680</xdr:rowOff>
    </xdr:to>
    <xdr:grpSp>
      <xdr:nvGrpSpPr>
        <xdr:cNvPr id="185" name="Groupe 184"/>
        <xdr:cNvGrpSpPr/>
      </xdr:nvGrpSpPr>
      <xdr:grpSpPr>
        <a:xfrm>
          <a:off x="2377440" y="1546860"/>
          <a:ext cx="296401" cy="0"/>
          <a:chOff x="8292353" y="5235388"/>
          <a:chExt cx="296401" cy="0"/>
        </a:xfrm>
      </xdr:grpSpPr>
      <xdr:cxnSp macro="">
        <xdr:nvCxnSpPr>
          <xdr:cNvPr id="186" name="Connecteur droit avec flèche 185"/>
          <xdr:cNvCxnSpPr/>
        </xdr:nvCxnSpPr>
        <xdr:spPr>
          <a:xfrm>
            <a:off x="8292353"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7" name="Connecteur droit avec flèche 186"/>
          <xdr:cNvCxnSpPr/>
        </xdr:nvCxnSpPr>
        <xdr:spPr>
          <a:xfrm flipH="1">
            <a:off x="8444754" y="5235388"/>
            <a:ext cx="144000" cy="0"/>
          </a:xfrm>
          <a:prstGeom prst="straightConnector1">
            <a:avLst/>
          </a:prstGeom>
          <a:ln w="28575">
            <a:solidFill>
              <a:sysClr val="windowText" lastClr="00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7" name="Graphique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9" name="ZoneTexte 18"/>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20" name="ZoneTexte 19"/>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21" name="ZoneTexte 20"/>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2" name="ZoneTexte 21"/>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3" name="ZoneTexte 22"/>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4" name="ZoneTexte 23"/>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5" name="ZoneTexte 24"/>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6" name="ZoneTexte 25"/>
        <xdr:cNvSpPr txBox="1"/>
      </xdr:nvSpPr>
      <xdr:spPr>
        <a:xfrm>
          <a:off x="6140824" y="1541929"/>
          <a:ext cx="111369" cy="1910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7" name="ZoneTexte 26"/>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8" name="ZoneTexte 27"/>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9" name="ZoneTexte 28"/>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30" name="ZoneTexte 29"/>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31" name="ZoneTexte 30"/>
        <xdr:cNvSpPr txBox="1"/>
      </xdr:nvSpPr>
      <xdr:spPr>
        <a:xfrm>
          <a:off x="6140824"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2" name="ZoneTexte 31"/>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3" name="ZoneTexte 32"/>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4" name="ZoneTexte 33"/>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5" name="ZoneTexte 34"/>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6" name="ZoneTexte 35"/>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7" name="ZoneTexte 36"/>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9" name="ZoneTexte 38"/>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40" name="ZoneTexte 39"/>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41" name="ZoneTexte 40"/>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42" name="ZoneTexte 41"/>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3" name="ZoneTexte 42"/>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4" name="ZoneTexte 43"/>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5" name="ZoneTexte 44"/>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6" name="ZoneTexte 45"/>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7" name="ZoneTexte 46"/>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8" name="ZoneTexte 47"/>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9" name="ZoneTexte 48"/>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50" name="ZoneTexte 49"/>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51" name="ZoneTexte 50"/>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52" name="ZoneTexte 51"/>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3" name="ZoneTexte 52"/>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4" name="ZoneTexte 53"/>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5" name="ZoneTexte 54"/>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6" name="ZoneTexte 55"/>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7" name="ZoneTexte 56"/>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8" name="ZoneTexte 57"/>
        <xdr:cNvSpPr txBox="1"/>
      </xdr:nvSpPr>
      <xdr:spPr>
        <a:xfrm>
          <a:off x="6142892" y="2409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9" name="ZoneTexte 58"/>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60" name="ZoneTexte 59"/>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61" name="ZoneTexte 60"/>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62" name="ZoneTexte 61"/>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3" name="ZoneTexte 62"/>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4" name="ZoneTexte 63"/>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5" name="ZoneTexte 64"/>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6" name="ZoneTexte 65"/>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7" name="ZoneTexte 66"/>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8" name="ZoneTexte 67"/>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9" name="ZoneTexte 68"/>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70" name="ZoneTexte 69"/>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71" name="ZoneTexte 70"/>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72" name="ZoneTexte 71"/>
        <xdr:cNvSpPr txBox="1"/>
      </xdr:nvSpPr>
      <xdr:spPr>
        <a:xfrm>
          <a:off x="6142892" y="6447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3" name="ZoneTexte 72"/>
        <xdr:cNvSpPr txBox="1"/>
      </xdr:nvSpPr>
      <xdr:spPr>
        <a:xfrm>
          <a:off x="6142892" y="8206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4" name="ZoneTexte 73"/>
        <xdr:cNvSpPr txBox="1"/>
      </xdr:nvSpPr>
      <xdr:spPr>
        <a:xfrm>
          <a:off x="6142892" y="1002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5" name="ZoneTexte 74"/>
        <xdr:cNvSpPr txBox="1"/>
      </xdr:nvSpPr>
      <xdr:spPr>
        <a:xfrm>
          <a:off x="6142892" y="1178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6" name="ZoneTexte 75"/>
        <xdr:cNvSpPr txBox="1"/>
      </xdr:nvSpPr>
      <xdr:spPr>
        <a:xfrm>
          <a:off x="6142892" y="1354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7" name="ZoneTexte 76"/>
        <xdr:cNvSpPr txBox="1"/>
      </xdr:nvSpPr>
      <xdr:spPr>
        <a:xfrm>
          <a:off x="6142892" y="4689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8" name="ZoneTexte 77"/>
        <xdr:cNvSpPr txBox="1"/>
      </xdr:nvSpPr>
      <xdr:spPr>
        <a:xfrm>
          <a:off x="6142892" y="2930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9" name="ZoneTexte 78"/>
        <xdr:cNvSpPr txBox="1"/>
      </xdr:nvSpPr>
      <xdr:spPr>
        <a:xfrm>
          <a:off x="6142892" y="1529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80" name="ZoneTexte 79"/>
        <xdr:cNvSpPr txBox="1"/>
      </xdr:nvSpPr>
      <xdr:spPr>
        <a:xfrm>
          <a:off x="6142892" y="1705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81" name="ZoneTexte 80"/>
        <xdr:cNvSpPr txBox="1"/>
      </xdr:nvSpPr>
      <xdr:spPr>
        <a:xfrm>
          <a:off x="6142892" y="1881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82" name="ZoneTexte 81"/>
        <xdr:cNvSpPr txBox="1"/>
      </xdr:nvSpPr>
      <xdr:spPr>
        <a:xfrm>
          <a:off x="6142892" y="2057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3" name="ZoneTexte 82"/>
        <xdr:cNvSpPr txBox="1"/>
      </xdr:nvSpPr>
      <xdr:spPr>
        <a:xfrm>
          <a:off x="6142892" y="2233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4" name="ZoneTexte 83"/>
        <xdr:cNvSpPr txBox="1"/>
      </xdr:nvSpPr>
      <xdr:spPr>
        <a:xfrm>
          <a:off x="6929718" y="2438400"/>
          <a:ext cx="111369" cy="191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5" name="ZoneTexte 84"/>
        <xdr:cNvSpPr txBox="1"/>
      </xdr:nvSpPr>
      <xdr:spPr>
        <a:xfrm>
          <a:off x="6142892" y="258493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6" name="ZoneTexte 85"/>
        <xdr:cNvSpPr txBox="1"/>
      </xdr:nvSpPr>
      <xdr:spPr>
        <a:xfrm>
          <a:off x="6142892" y="276078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7" name="ZoneTexte 86"/>
        <xdr:cNvSpPr txBox="1"/>
      </xdr:nvSpPr>
      <xdr:spPr>
        <a:xfrm>
          <a:off x="6142892" y="2936631"/>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8" name="ZoneTexte 87"/>
        <xdr:cNvSpPr txBox="1"/>
      </xdr:nvSpPr>
      <xdr:spPr>
        <a:xfrm>
          <a:off x="6142892" y="3112477"/>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9" name="ZoneTexte 88"/>
        <xdr:cNvSpPr txBox="1"/>
      </xdr:nvSpPr>
      <xdr:spPr>
        <a:xfrm>
          <a:off x="6142892" y="3288323"/>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90" name="ZoneTexte 89"/>
        <xdr:cNvSpPr txBox="1"/>
      </xdr:nvSpPr>
      <xdr:spPr>
        <a:xfrm>
          <a:off x="6142892" y="3464169"/>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91" name="ZoneTexte 90"/>
        <xdr:cNvSpPr txBox="1"/>
      </xdr:nvSpPr>
      <xdr:spPr>
        <a:xfrm>
          <a:off x="6142892" y="3640015"/>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92" name="ZoneTexte 91"/>
        <xdr:cNvSpPr txBox="1"/>
      </xdr:nvSpPr>
      <xdr:spPr>
        <a:xfrm>
          <a:off x="6142892" y="381586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3" name="ZoneTexte 92"/>
        <xdr:cNvSpPr txBox="1"/>
      </xdr:nvSpPr>
      <xdr:spPr>
        <a:xfrm>
          <a:off x="6142892" y="3991708"/>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4" name="ZoneTexte 93"/>
        <xdr:cNvSpPr txBox="1"/>
      </xdr:nvSpPr>
      <xdr:spPr>
        <a:xfrm>
          <a:off x="6142892" y="4167554"/>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5" name="ZoneTexte 94"/>
        <xdr:cNvSpPr txBox="1"/>
      </xdr:nvSpPr>
      <xdr:spPr>
        <a:xfrm>
          <a:off x="6142892" y="4343400"/>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6" name="ZoneTexte 95"/>
        <xdr:cNvSpPr txBox="1"/>
      </xdr:nvSpPr>
      <xdr:spPr>
        <a:xfrm>
          <a:off x="6142892" y="4519246"/>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7" name="ZoneTexte 96"/>
        <xdr:cNvSpPr txBox="1"/>
      </xdr:nvSpPr>
      <xdr:spPr>
        <a:xfrm>
          <a:off x="6142892" y="4695092"/>
          <a:ext cx="111369" cy="1875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1025" name="Group 1"/>
        <xdr:cNvGrpSpPr>
          <a:grpSpLocks/>
        </xdr:cNvGrpSpPr>
      </xdr:nvGrpSpPr>
      <xdr:grpSpPr bwMode="auto">
        <a:xfrm>
          <a:off x="6569026" y="4906694"/>
          <a:ext cx="190500" cy="190500"/>
          <a:chOff x="2230" y="12069"/>
          <a:chExt cx="297" cy="294"/>
        </a:xfrm>
      </xdr:grpSpPr>
      <xdr:cxnSp macro="">
        <xdr:nvCxnSpPr>
          <xdr:cNvPr id="102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2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2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1029" name="Group 5"/>
        <xdr:cNvGrpSpPr>
          <a:grpSpLocks/>
        </xdr:cNvGrpSpPr>
      </xdr:nvGrpSpPr>
      <xdr:grpSpPr bwMode="auto">
        <a:xfrm>
          <a:off x="6200335" y="4909625"/>
          <a:ext cx="190500" cy="190499"/>
          <a:chOff x="2230" y="12069"/>
          <a:chExt cx="297" cy="294"/>
        </a:xfrm>
      </xdr:grpSpPr>
      <xdr:cxnSp macro="">
        <xdr:nvCxnSpPr>
          <xdr:cNvPr id="103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3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3" name="Group 9"/>
        <xdr:cNvGrpSpPr>
          <a:grpSpLocks/>
        </xdr:cNvGrpSpPr>
      </xdr:nvGrpSpPr>
      <xdr:grpSpPr bwMode="auto">
        <a:xfrm>
          <a:off x="6936544" y="4914315"/>
          <a:ext cx="190500" cy="182879"/>
          <a:chOff x="2230" y="12069"/>
          <a:chExt cx="297" cy="294"/>
        </a:xfrm>
      </xdr:grpSpPr>
      <xdr:cxnSp macro="">
        <xdr:nvCxnSpPr>
          <xdr:cNvPr id="103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3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3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37" name="Group 13"/>
        <xdr:cNvGrpSpPr>
          <a:grpSpLocks/>
        </xdr:cNvGrpSpPr>
      </xdr:nvGrpSpPr>
      <xdr:grpSpPr bwMode="auto">
        <a:xfrm>
          <a:off x="6568440" y="5219700"/>
          <a:ext cx="182880" cy="289560"/>
          <a:chOff x="1860" y="11974"/>
          <a:chExt cx="286" cy="452"/>
        </a:xfrm>
      </xdr:grpSpPr>
      <xdr:cxnSp macro="">
        <xdr:nvCxnSpPr>
          <xdr:cNvPr id="103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3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4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04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042" name="Group 18"/>
        <xdr:cNvGrpSpPr>
          <a:grpSpLocks/>
        </xdr:cNvGrpSpPr>
      </xdr:nvGrpSpPr>
      <xdr:grpSpPr bwMode="auto">
        <a:xfrm>
          <a:off x="6210886" y="5204460"/>
          <a:ext cx="182880" cy="290146"/>
          <a:chOff x="1860" y="11974"/>
          <a:chExt cx="286" cy="452"/>
        </a:xfrm>
      </xdr:grpSpPr>
      <xdr:cxnSp macro="">
        <xdr:nvCxnSpPr>
          <xdr:cNvPr id="104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4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04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047" name="Group 23"/>
        <xdr:cNvGrpSpPr>
          <a:grpSpLocks/>
        </xdr:cNvGrpSpPr>
      </xdr:nvGrpSpPr>
      <xdr:grpSpPr bwMode="auto">
        <a:xfrm>
          <a:off x="6954715" y="5220286"/>
          <a:ext cx="182880" cy="290146"/>
          <a:chOff x="1860" y="11974"/>
          <a:chExt cx="286" cy="452"/>
        </a:xfrm>
      </xdr:grpSpPr>
      <xdr:cxnSp macro="">
        <xdr:nvCxnSpPr>
          <xdr:cNvPr id="104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4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5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05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35" name="ZoneTexte 134"/>
        <xdr:cNvSpPr txBox="1"/>
      </xdr:nvSpPr>
      <xdr:spPr>
        <a:xfrm>
          <a:off x="621909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36" name="ZoneTexte 135"/>
        <xdr:cNvSpPr txBox="1"/>
      </xdr:nvSpPr>
      <xdr:spPr>
        <a:xfrm>
          <a:off x="6617684"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37" name="ZoneTexte 136"/>
        <xdr:cNvSpPr txBox="1"/>
      </xdr:nvSpPr>
      <xdr:spPr>
        <a:xfrm>
          <a:off x="7016269" y="5574323"/>
          <a:ext cx="105508"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062" name="Freeform 38"/>
        <xdr:cNvSpPr>
          <a:spLocks/>
        </xdr:cNvSpPr>
      </xdr:nvSpPr>
      <xdr:spPr bwMode="auto">
        <a:xfrm>
          <a:off x="6993401" y="5863298"/>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063" name="Freeform 39"/>
        <xdr:cNvSpPr>
          <a:spLocks/>
        </xdr:cNvSpPr>
      </xdr:nvSpPr>
      <xdr:spPr bwMode="auto">
        <a:xfrm>
          <a:off x="6223196" y="5864468"/>
          <a:ext cx="213360" cy="183467"/>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064" name="Freeform 40"/>
        <xdr:cNvSpPr>
          <a:spLocks/>
        </xdr:cNvSpPr>
      </xdr:nvSpPr>
      <xdr:spPr bwMode="auto">
        <a:xfrm>
          <a:off x="6594231" y="5867400"/>
          <a:ext cx="213360" cy="175846"/>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065" name="AutoShape 41"/>
        <xdr:cNvCxnSpPr>
          <a:cxnSpLocks noChangeShapeType="1"/>
        </xdr:cNvCxnSpPr>
      </xdr:nvCxnSpPr>
      <xdr:spPr bwMode="auto">
        <a:xfrm flipH="1">
          <a:off x="6986452" y="6147162"/>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066" name="AutoShape 42"/>
        <xdr:cNvCxnSpPr>
          <a:cxnSpLocks noChangeShapeType="1"/>
        </xdr:cNvCxnSpPr>
      </xdr:nvCxnSpPr>
      <xdr:spPr bwMode="auto">
        <a:xfrm flipH="1">
          <a:off x="6228806" y="6154783"/>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067" name="AutoShape 43"/>
        <xdr:cNvCxnSpPr>
          <a:cxnSpLocks noChangeShapeType="1"/>
        </xdr:cNvCxnSpPr>
      </xdr:nvCxnSpPr>
      <xdr:spPr bwMode="auto">
        <a:xfrm flipH="1">
          <a:off x="6606540" y="6138455"/>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068" name="Group 44"/>
        <xdr:cNvGrpSpPr>
          <a:grpSpLocks/>
        </xdr:cNvGrpSpPr>
      </xdr:nvGrpSpPr>
      <xdr:grpSpPr bwMode="auto">
        <a:xfrm>
          <a:off x="7051765" y="6523814"/>
          <a:ext cx="140426" cy="144781"/>
          <a:chOff x="547" y="1763"/>
          <a:chExt cx="225" cy="225"/>
        </a:xfrm>
      </xdr:grpSpPr>
      <xdr:sp macro="" textlink="">
        <xdr:nvSpPr>
          <xdr:cNvPr id="1069"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070"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071" name="Group 47"/>
        <xdr:cNvGrpSpPr>
          <a:grpSpLocks/>
        </xdr:cNvGrpSpPr>
      </xdr:nvGrpSpPr>
      <xdr:grpSpPr bwMode="auto">
        <a:xfrm>
          <a:off x="6263639" y="6518372"/>
          <a:ext cx="140426" cy="144780"/>
          <a:chOff x="547" y="1763"/>
          <a:chExt cx="225" cy="225"/>
        </a:xfrm>
      </xdr:grpSpPr>
      <xdr:sp macro="" textlink="">
        <xdr:nvSpPr>
          <xdr:cNvPr id="1072"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073"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074" name="Group 50"/>
        <xdr:cNvGrpSpPr>
          <a:grpSpLocks/>
        </xdr:cNvGrpSpPr>
      </xdr:nvGrpSpPr>
      <xdr:grpSpPr bwMode="auto">
        <a:xfrm>
          <a:off x="6667499" y="6512928"/>
          <a:ext cx="140426" cy="137160"/>
          <a:chOff x="547" y="1763"/>
          <a:chExt cx="225" cy="225"/>
        </a:xfrm>
      </xdr:grpSpPr>
      <xdr:sp macro="" textlink="">
        <xdr:nvSpPr>
          <xdr:cNvPr id="1075"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076"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077" name="Group 53"/>
        <xdr:cNvGrpSpPr>
          <a:grpSpLocks/>
        </xdr:cNvGrpSpPr>
      </xdr:nvGrpSpPr>
      <xdr:grpSpPr bwMode="auto">
        <a:xfrm>
          <a:off x="7058298" y="6798135"/>
          <a:ext cx="144780" cy="143691"/>
          <a:chOff x="554" y="1388"/>
          <a:chExt cx="225" cy="225"/>
        </a:xfrm>
      </xdr:grpSpPr>
      <xdr:sp macro="" textlink="">
        <xdr:nvSpPr>
          <xdr:cNvPr id="1078"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079"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80"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081" name="Group 57"/>
        <xdr:cNvGrpSpPr>
          <a:grpSpLocks/>
        </xdr:cNvGrpSpPr>
      </xdr:nvGrpSpPr>
      <xdr:grpSpPr bwMode="auto">
        <a:xfrm>
          <a:off x="6291943" y="6781807"/>
          <a:ext cx="137160" cy="143691"/>
          <a:chOff x="554" y="1388"/>
          <a:chExt cx="225" cy="225"/>
        </a:xfrm>
      </xdr:grpSpPr>
      <xdr:sp macro="" textlink="">
        <xdr:nvSpPr>
          <xdr:cNvPr id="1082"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083"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84"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085" name="Group 61"/>
        <xdr:cNvGrpSpPr>
          <a:grpSpLocks/>
        </xdr:cNvGrpSpPr>
      </xdr:nvGrpSpPr>
      <xdr:grpSpPr bwMode="auto">
        <a:xfrm>
          <a:off x="6652259" y="6753504"/>
          <a:ext cx="144780" cy="137160"/>
          <a:chOff x="554" y="1388"/>
          <a:chExt cx="225" cy="225"/>
        </a:xfrm>
      </xdr:grpSpPr>
      <xdr:sp macro="" textlink="">
        <xdr:nvSpPr>
          <xdr:cNvPr id="1086"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087"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88"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089" name="AutoShape 65"/>
        <xdr:cNvCxnSpPr>
          <a:cxnSpLocks noChangeShapeType="1"/>
        </xdr:cNvCxnSpPr>
      </xdr:nvCxnSpPr>
      <xdr:spPr bwMode="auto">
        <a:xfrm rot="5400000">
          <a:off x="6726859" y="7258665"/>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090" name="AutoShape 66"/>
        <xdr:cNvCxnSpPr>
          <a:cxnSpLocks noChangeShapeType="1"/>
        </xdr:cNvCxnSpPr>
      </xdr:nvCxnSpPr>
      <xdr:spPr bwMode="auto">
        <a:xfrm rot="5400000" flipV="1">
          <a:off x="6726859" y="7102231"/>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091" name="AutoShape 67"/>
        <xdr:cNvCxnSpPr>
          <a:cxnSpLocks noChangeShapeType="1"/>
        </xdr:cNvCxnSpPr>
      </xdr:nvCxnSpPr>
      <xdr:spPr bwMode="auto">
        <a:xfrm rot="5400000">
          <a:off x="6364525" y="7249412"/>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092" name="AutoShape 68"/>
        <xdr:cNvCxnSpPr>
          <a:cxnSpLocks noChangeShapeType="1"/>
        </xdr:cNvCxnSpPr>
      </xdr:nvCxnSpPr>
      <xdr:spPr bwMode="auto">
        <a:xfrm rot="5400000" flipV="1">
          <a:off x="6364525" y="7108218"/>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093" name="AutoShape 69"/>
        <xdr:cNvCxnSpPr>
          <a:cxnSpLocks noChangeShapeType="1"/>
        </xdr:cNvCxnSpPr>
      </xdr:nvCxnSpPr>
      <xdr:spPr bwMode="auto">
        <a:xfrm rot="5400000">
          <a:off x="7109333" y="726737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094" name="AutoShape 70"/>
        <xdr:cNvCxnSpPr>
          <a:cxnSpLocks noChangeShapeType="1"/>
        </xdr:cNvCxnSpPr>
      </xdr:nvCxnSpPr>
      <xdr:spPr bwMode="auto">
        <a:xfrm rot="5400000" flipV="1">
          <a:off x="7109333" y="7102230"/>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095" name="AutoShape 71"/>
        <xdr:cNvCxnSpPr>
          <a:cxnSpLocks noChangeShapeType="1"/>
        </xdr:cNvCxnSpPr>
      </xdr:nvCxnSpPr>
      <xdr:spPr bwMode="auto">
        <a:xfrm>
          <a:off x="679543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096" name="AutoShape 72"/>
        <xdr:cNvCxnSpPr>
          <a:cxnSpLocks noChangeShapeType="1"/>
        </xdr:cNvCxnSpPr>
      </xdr:nvCxnSpPr>
      <xdr:spPr bwMode="auto">
        <a:xfrm flipV="1">
          <a:off x="6703999" y="7529397"/>
          <a:ext cx="0" cy="209775"/>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097" name="AutoShape 73"/>
        <xdr:cNvCxnSpPr>
          <a:cxnSpLocks noChangeShapeType="1"/>
        </xdr:cNvCxnSpPr>
      </xdr:nvCxnSpPr>
      <xdr:spPr bwMode="auto">
        <a:xfrm>
          <a:off x="6404258" y="7523955"/>
          <a:ext cx="0" cy="20977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098" name="AutoShape 74"/>
        <xdr:cNvCxnSpPr>
          <a:cxnSpLocks noChangeShapeType="1"/>
        </xdr:cNvCxnSpPr>
      </xdr:nvCxnSpPr>
      <xdr:spPr bwMode="auto">
        <a:xfrm flipV="1">
          <a:off x="6312818" y="7523955"/>
          <a:ext cx="0" cy="217394"/>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099" name="AutoShape 75"/>
        <xdr:cNvCxnSpPr>
          <a:cxnSpLocks noChangeShapeType="1"/>
        </xdr:cNvCxnSpPr>
      </xdr:nvCxnSpPr>
      <xdr:spPr bwMode="auto">
        <a:xfrm>
          <a:off x="715614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100" name="AutoShape 76"/>
        <xdr:cNvCxnSpPr>
          <a:cxnSpLocks noChangeShapeType="1"/>
        </xdr:cNvCxnSpPr>
      </xdr:nvCxnSpPr>
      <xdr:spPr bwMode="auto">
        <a:xfrm flipV="1">
          <a:off x="7064701" y="7505450"/>
          <a:ext cx="0" cy="208685"/>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101" name="Oval 77"/>
        <xdr:cNvSpPr>
          <a:spLocks noChangeArrowheads="1"/>
        </xdr:cNvSpPr>
      </xdr:nvSpPr>
      <xdr:spPr bwMode="auto">
        <a:xfrm>
          <a:off x="6937338" y="7878189"/>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102" name="Oval 78"/>
        <xdr:cNvSpPr>
          <a:spLocks noChangeArrowheads="1"/>
        </xdr:cNvSpPr>
      </xdr:nvSpPr>
      <xdr:spPr bwMode="auto">
        <a:xfrm>
          <a:off x="6188720" y="7886897"/>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103" name="Oval 79"/>
        <xdr:cNvSpPr>
          <a:spLocks noChangeArrowheads="1"/>
        </xdr:cNvSpPr>
      </xdr:nvSpPr>
      <xdr:spPr bwMode="auto">
        <a:xfrm>
          <a:off x="6598407" y="7881455"/>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104" name="AutoShape 80"/>
        <xdr:cNvSpPr>
          <a:spLocks noChangeArrowheads="1"/>
        </xdr:cNvSpPr>
      </xdr:nvSpPr>
      <xdr:spPr bwMode="auto">
        <a:xfrm>
          <a:off x="6693113" y="8180173"/>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106" name="AutoShape 82"/>
        <xdr:cNvSpPr>
          <a:spLocks noChangeArrowheads="1"/>
        </xdr:cNvSpPr>
      </xdr:nvSpPr>
      <xdr:spPr bwMode="auto">
        <a:xfrm>
          <a:off x="6301932" y="8147836"/>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108" name="AutoShape 84"/>
        <xdr:cNvSpPr>
          <a:spLocks noChangeArrowheads="1"/>
        </xdr:cNvSpPr>
      </xdr:nvSpPr>
      <xdr:spPr bwMode="auto">
        <a:xfrm>
          <a:off x="7075586" y="8176907"/>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3" name="AutoShape 80"/>
        <xdr:cNvSpPr>
          <a:spLocks noChangeArrowheads="1"/>
        </xdr:cNvSpPr>
      </xdr:nvSpPr>
      <xdr:spPr bwMode="auto">
        <a:xfrm flipH="1">
          <a:off x="6576828" y="8073684"/>
          <a:ext cx="175260" cy="186913"/>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4" name="AutoShape 82"/>
        <xdr:cNvSpPr>
          <a:spLocks noChangeArrowheads="1"/>
        </xdr:cNvSpPr>
      </xdr:nvSpPr>
      <xdr:spPr bwMode="auto">
        <a:xfrm flipH="1">
          <a:off x="6185647" y="8041347"/>
          <a:ext cx="182880" cy="186914"/>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5" name="AutoShape 84"/>
        <xdr:cNvSpPr>
          <a:spLocks noChangeArrowheads="1"/>
        </xdr:cNvSpPr>
      </xdr:nvSpPr>
      <xdr:spPr bwMode="auto">
        <a:xfrm flipH="1">
          <a:off x="6959301" y="8070418"/>
          <a:ext cx="175260" cy="179293"/>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38" name="Groupe 37"/>
        <xdr:cNvGrpSpPr/>
      </xdr:nvGrpSpPr>
      <xdr:grpSpPr>
        <a:xfrm>
          <a:off x="6195508" y="6363596"/>
          <a:ext cx="296401" cy="0"/>
          <a:chOff x="8292353" y="5235388"/>
          <a:chExt cx="296401" cy="0"/>
        </a:xfrm>
      </xdr:grpSpPr>
      <xdr:cxnSp macro="">
        <xdr:nvCxnSpPr>
          <xdr:cNvPr id="18" name="Connecteur droit avec flèche 17"/>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80" name="Groupe 179"/>
        <xdr:cNvGrpSpPr/>
      </xdr:nvGrpSpPr>
      <xdr:grpSpPr>
        <a:xfrm>
          <a:off x="6582784" y="6363596"/>
          <a:ext cx="296401" cy="0"/>
          <a:chOff x="8292353" y="5235388"/>
          <a:chExt cx="296401" cy="0"/>
        </a:xfrm>
      </xdr:grpSpPr>
      <xdr:cxnSp macro="">
        <xdr:nvCxnSpPr>
          <xdr:cNvPr id="181" name="Connecteur droit avec flèche 180"/>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2" name="Connecteur droit avec flèche 181"/>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83" name="Groupe 182"/>
        <xdr:cNvGrpSpPr/>
      </xdr:nvGrpSpPr>
      <xdr:grpSpPr>
        <a:xfrm>
          <a:off x="6970059" y="6354632"/>
          <a:ext cx="296401" cy="0"/>
          <a:chOff x="8292353" y="5235388"/>
          <a:chExt cx="296401" cy="0"/>
        </a:xfrm>
      </xdr:grpSpPr>
      <xdr:cxnSp macro="">
        <xdr:nvCxnSpPr>
          <xdr:cNvPr id="184" name="Connecteur droit avec flèche 183"/>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5" name="Connecteur droit avec flèche 184"/>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118470</xdr:colOff>
      <xdr:row>1</xdr:row>
      <xdr:rowOff>94130</xdr:rowOff>
    </xdr:from>
    <xdr:to>
      <xdr:col>6</xdr:col>
      <xdr:colOff>1064</xdr:colOff>
      <xdr:row>10</xdr:row>
      <xdr:rowOff>1165</xdr:rowOff>
    </xdr:to>
    <xdr:graphicFrame macro="">
      <xdr:nvGraphicFramePr>
        <xdr:cNvPr id="2" name="Graphique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125505</xdr:colOff>
      <xdr:row>1</xdr:row>
      <xdr:rowOff>94130</xdr:rowOff>
    </xdr:from>
    <xdr:to>
      <xdr:col>8</xdr:col>
      <xdr:colOff>1037385</xdr:colOff>
      <xdr:row>10</xdr:row>
      <xdr:rowOff>1165</xdr:rowOff>
    </xdr:to>
    <xdr:graphicFrame macro="">
      <xdr:nvGraphicFramePr>
        <xdr:cNvPr id="3" name="Graphique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10</xdr:row>
      <xdr:rowOff>174812</xdr:rowOff>
    </xdr:from>
    <xdr:to>
      <xdr:col>2</xdr:col>
      <xdr:colOff>1010940</xdr:colOff>
      <xdr:row>19</xdr:row>
      <xdr:rowOff>1165</xdr:rowOff>
    </xdr:to>
    <xdr:graphicFrame macro="">
      <xdr:nvGraphicFramePr>
        <xdr:cNvPr id="4" name="Graphique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118470</xdr:colOff>
      <xdr:row>10</xdr:row>
      <xdr:rowOff>174812</xdr:rowOff>
    </xdr:from>
    <xdr:to>
      <xdr:col>5</xdr:col>
      <xdr:colOff>1030350</xdr:colOff>
      <xdr:row>19</xdr:row>
      <xdr:rowOff>1165</xdr:rowOff>
    </xdr:to>
    <xdr:graphicFrame macro="">
      <xdr:nvGraphicFramePr>
        <xdr:cNvPr id="5" name="Graphique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125505</xdr:colOff>
      <xdr:row>10</xdr:row>
      <xdr:rowOff>174812</xdr:rowOff>
    </xdr:from>
    <xdr:to>
      <xdr:col>8</xdr:col>
      <xdr:colOff>1037385</xdr:colOff>
      <xdr:row>19</xdr:row>
      <xdr:rowOff>1165</xdr:rowOff>
    </xdr:to>
    <xdr:graphicFrame macro="">
      <xdr:nvGraphicFramePr>
        <xdr:cNvPr id="6" name="Graphique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0</xdr:colOff>
      <xdr:row>20</xdr:row>
      <xdr:rowOff>0</xdr:rowOff>
    </xdr:from>
    <xdr:to>
      <xdr:col>2</xdr:col>
      <xdr:colOff>1041420</xdr:colOff>
      <xdr:row>28</xdr:row>
      <xdr:rowOff>5647</xdr:rowOff>
    </xdr:to>
    <xdr:graphicFrame macro="">
      <xdr:nvGraphicFramePr>
        <xdr:cNvPr id="7" name="Graphique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xdr:col>
      <xdr:colOff>118470</xdr:colOff>
      <xdr:row>20</xdr:row>
      <xdr:rowOff>0</xdr:rowOff>
    </xdr:from>
    <xdr:to>
      <xdr:col>6</xdr:col>
      <xdr:colOff>2739</xdr:colOff>
      <xdr:row>28</xdr:row>
      <xdr:rowOff>5647</xdr:rowOff>
    </xdr:to>
    <xdr:graphicFrame macro="">
      <xdr:nvGraphicFramePr>
        <xdr:cNvPr id="8" name="Graphique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5762</xdr:colOff>
      <xdr:row>20</xdr:row>
      <xdr:rowOff>0</xdr:rowOff>
    </xdr:from>
    <xdr:to>
      <xdr:col>9</xdr:col>
      <xdr:colOff>2153</xdr:colOff>
      <xdr:row>28</xdr:row>
      <xdr:rowOff>5647</xdr:rowOff>
    </xdr:to>
    <xdr:graphicFrame macro="">
      <xdr:nvGraphicFramePr>
        <xdr:cNvPr id="9" name="Graphique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28</xdr:row>
      <xdr:rowOff>171673</xdr:rowOff>
    </xdr:from>
    <xdr:to>
      <xdr:col>2</xdr:col>
      <xdr:colOff>1041420</xdr:colOff>
      <xdr:row>37</xdr:row>
      <xdr:rowOff>5646</xdr:rowOff>
    </xdr:to>
    <xdr:graphicFrame macro="">
      <xdr:nvGraphicFramePr>
        <xdr:cNvPr id="10" name="Graphique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3</xdr:col>
      <xdr:colOff>118470</xdr:colOff>
      <xdr:row>28</xdr:row>
      <xdr:rowOff>171673</xdr:rowOff>
    </xdr:from>
    <xdr:to>
      <xdr:col>5</xdr:col>
      <xdr:colOff>1030350</xdr:colOff>
      <xdr:row>37</xdr:row>
      <xdr:rowOff>5646</xdr:rowOff>
    </xdr:to>
    <xdr:graphicFrame macro="">
      <xdr:nvGraphicFramePr>
        <xdr:cNvPr id="11" name="Graphique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6</xdr:col>
      <xdr:colOff>125505</xdr:colOff>
      <xdr:row>28</xdr:row>
      <xdr:rowOff>171673</xdr:rowOff>
    </xdr:from>
    <xdr:to>
      <xdr:col>8</xdr:col>
      <xdr:colOff>1037385</xdr:colOff>
      <xdr:row>37</xdr:row>
      <xdr:rowOff>5646</xdr:rowOff>
    </xdr:to>
    <xdr:graphicFrame macro="">
      <xdr:nvGraphicFramePr>
        <xdr:cNvPr id="12" name="Graphique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0</xdr:colOff>
      <xdr:row>38</xdr:row>
      <xdr:rowOff>6201</xdr:rowOff>
    </xdr:from>
    <xdr:to>
      <xdr:col>2</xdr:col>
      <xdr:colOff>1041420</xdr:colOff>
      <xdr:row>46</xdr:row>
      <xdr:rowOff>14346</xdr:rowOff>
    </xdr:to>
    <xdr:graphicFrame macro="">
      <xdr:nvGraphicFramePr>
        <xdr:cNvPr id="13" name="Graphique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3</xdr:col>
      <xdr:colOff>118470</xdr:colOff>
      <xdr:row>38</xdr:row>
      <xdr:rowOff>6201</xdr:rowOff>
    </xdr:from>
    <xdr:to>
      <xdr:col>5</xdr:col>
      <xdr:colOff>1030350</xdr:colOff>
      <xdr:row>46</xdr:row>
      <xdr:rowOff>14346</xdr:rowOff>
    </xdr:to>
    <xdr:graphicFrame macro="">
      <xdr:nvGraphicFramePr>
        <xdr:cNvPr id="14" name="Graphique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6</xdr:col>
      <xdr:colOff>125505</xdr:colOff>
      <xdr:row>38</xdr:row>
      <xdr:rowOff>6201</xdr:rowOff>
    </xdr:from>
    <xdr:to>
      <xdr:col>8</xdr:col>
      <xdr:colOff>1037385</xdr:colOff>
      <xdr:row>46</xdr:row>
      <xdr:rowOff>14346</xdr:rowOff>
    </xdr:to>
    <xdr:graphicFrame macro="">
      <xdr:nvGraphicFramePr>
        <xdr:cNvPr id="15" name="Graphique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xdr:col>
      <xdr:colOff>0</xdr:colOff>
      <xdr:row>1</xdr:row>
      <xdr:rowOff>94130</xdr:rowOff>
    </xdr:from>
    <xdr:to>
      <xdr:col>2</xdr:col>
      <xdr:colOff>1012292</xdr:colOff>
      <xdr:row>10</xdr:row>
      <xdr:rowOff>2515</xdr:rowOff>
    </xdr:to>
    <xdr:graphicFrame macro="">
      <xdr:nvGraphicFramePr>
        <xdr:cNvPr id="16" name="Graphique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9</xdr:col>
      <xdr:colOff>0</xdr:colOff>
      <xdr:row>4</xdr:row>
      <xdr:rowOff>0</xdr:rowOff>
    </xdr:from>
    <xdr:to>
      <xdr:col>9</xdr:col>
      <xdr:colOff>111369</xdr:colOff>
      <xdr:row>5</xdr:row>
      <xdr:rowOff>11724</xdr:rowOff>
    </xdr:to>
    <xdr:sp macro="" textlink="">
      <xdr:nvSpPr>
        <xdr:cNvPr id="17" name="ZoneTexte 16"/>
        <xdr:cNvSpPr txBox="1"/>
      </xdr:nvSpPr>
      <xdr:spPr>
        <a:xfrm>
          <a:off x="614172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c</a:t>
          </a:r>
        </a:p>
      </xdr:txBody>
    </xdr:sp>
    <xdr:clientData fLocksWithSheet="0"/>
  </xdr:twoCellAnchor>
  <xdr:twoCellAnchor>
    <xdr:from>
      <xdr:col>9</xdr:col>
      <xdr:colOff>0</xdr:colOff>
      <xdr:row>5</xdr:row>
      <xdr:rowOff>0</xdr:rowOff>
    </xdr:from>
    <xdr:to>
      <xdr:col>9</xdr:col>
      <xdr:colOff>111369</xdr:colOff>
      <xdr:row>6</xdr:row>
      <xdr:rowOff>5862</xdr:rowOff>
    </xdr:to>
    <xdr:sp macro="" textlink="">
      <xdr:nvSpPr>
        <xdr:cNvPr id="18" name="ZoneTexte 17"/>
        <xdr:cNvSpPr txBox="1"/>
      </xdr:nvSpPr>
      <xdr:spPr>
        <a:xfrm>
          <a:off x="614172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d</a:t>
          </a:r>
        </a:p>
      </xdr:txBody>
    </xdr:sp>
    <xdr:clientData fLocksWithSheet="0"/>
  </xdr:twoCellAnchor>
  <xdr:twoCellAnchor>
    <xdr:from>
      <xdr:col>9</xdr:col>
      <xdr:colOff>0</xdr:colOff>
      <xdr:row>6</xdr:row>
      <xdr:rowOff>0</xdr:rowOff>
    </xdr:from>
    <xdr:to>
      <xdr:col>9</xdr:col>
      <xdr:colOff>111369</xdr:colOff>
      <xdr:row>7</xdr:row>
      <xdr:rowOff>11724</xdr:rowOff>
    </xdr:to>
    <xdr:sp macro="" textlink="">
      <xdr:nvSpPr>
        <xdr:cNvPr id="19" name="ZoneTexte 18"/>
        <xdr:cNvSpPr txBox="1"/>
      </xdr:nvSpPr>
      <xdr:spPr>
        <a:xfrm>
          <a:off x="614172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e</a:t>
          </a:r>
        </a:p>
      </xdr:txBody>
    </xdr:sp>
    <xdr:clientData fLocksWithSheet="0"/>
  </xdr:twoCellAnchor>
  <xdr:twoCellAnchor>
    <xdr:from>
      <xdr:col>9</xdr:col>
      <xdr:colOff>0</xdr:colOff>
      <xdr:row>7</xdr:row>
      <xdr:rowOff>0</xdr:rowOff>
    </xdr:from>
    <xdr:to>
      <xdr:col>9</xdr:col>
      <xdr:colOff>111369</xdr:colOff>
      <xdr:row>8</xdr:row>
      <xdr:rowOff>11724</xdr:rowOff>
    </xdr:to>
    <xdr:sp macro="" textlink="">
      <xdr:nvSpPr>
        <xdr:cNvPr id="20" name="ZoneTexte 19"/>
        <xdr:cNvSpPr txBox="1"/>
      </xdr:nvSpPr>
      <xdr:spPr>
        <a:xfrm>
          <a:off x="614172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fb</a:t>
          </a:r>
        </a:p>
      </xdr:txBody>
    </xdr:sp>
    <xdr:clientData fLocksWithSheet="0"/>
  </xdr:twoCellAnchor>
  <xdr:twoCellAnchor>
    <xdr:from>
      <xdr:col>9</xdr:col>
      <xdr:colOff>0</xdr:colOff>
      <xdr:row>8</xdr:row>
      <xdr:rowOff>0</xdr:rowOff>
    </xdr:from>
    <xdr:to>
      <xdr:col>9</xdr:col>
      <xdr:colOff>111369</xdr:colOff>
      <xdr:row>9</xdr:row>
      <xdr:rowOff>11723</xdr:rowOff>
    </xdr:to>
    <xdr:sp macro="" textlink="">
      <xdr:nvSpPr>
        <xdr:cNvPr id="21" name="ZoneTexte 20"/>
        <xdr:cNvSpPr txBox="1"/>
      </xdr:nvSpPr>
      <xdr:spPr>
        <a:xfrm>
          <a:off x="614172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g</a:t>
          </a:r>
        </a:p>
      </xdr:txBody>
    </xdr:sp>
    <xdr:clientData fLocksWithSheet="0"/>
  </xdr:twoCellAnchor>
  <xdr:twoCellAnchor>
    <xdr:from>
      <xdr:col>9</xdr:col>
      <xdr:colOff>0</xdr:colOff>
      <xdr:row>3</xdr:row>
      <xdr:rowOff>0</xdr:rowOff>
    </xdr:from>
    <xdr:to>
      <xdr:col>9</xdr:col>
      <xdr:colOff>111369</xdr:colOff>
      <xdr:row>4</xdr:row>
      <xdr:rowOff>11724</xdr:rowOff>
    </xdr:to>
    <xdr:sp macro="" textlink="">
      <xdr:nvSpPr>
        <xdr:cNvPr id="22" name="ZoneTexte 21"/>
        <xdr:cNvSpPr txBox="1"/>
      </xdr:nvSpPr>
      <xdr:spPr>
        <a:xfrm>
          <a:off x="614172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b</a:t>
          </a:r>
        </a:p>
      </xdr:txBody>
    </xdr:sp>
    <xdr:clientData fLocksWithSheet="0"/>
  </xdr:twoCellAnchor>
  <xdr:twoCellAnchor>
    <xdr:from>
      <xdr:col>9</xdr:col>
      <xdr:colOff>0</xdr:colOff>
      <xdr:row>2</xdr:row>
      <xdr:rowOff>0</xdr:rowOff>
    </xdr:from>
    <xdr:to>
      <xdr:col>9</xdr:col>
      <xdr:colOff>111369</xdr:colOff>
      <xdr:row>3</xdr:row>
      <xdr:rowOff>11724</xdr:rowOff>
    </xdr:to>
    <xdr:sp macro="" textlink="">
      <xdr:nvSpPr>
        <xdr:cNvPr id="23" name="ZoneTexte 22"/>
        <xdr:cNvSpPr txBox="1"/>
      </xdr:nvSpPr>
      <xdr:spPr>
        <a:xfrm>
          <a:off x="614172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a</a:t>
          </a:r>
        </a:p>
      </xdr:txBody>
    </xdr:sp>
    <xdr:clientData fLocksWithSheet="0"/>
  </xdr:twoCellAnchor>
  <xdr:twoCellAnchor>
    <xdr:from>
      <xdr:col>9</xdr:col>
      <xdr:colOff>0</xdr:colOff>
      <xdr:row>9</xdr:row>
      <xdr:rowOff>0</xdr:rowOff>
    </xdr:from>
    <xdr:to>
      <xdr:col>9</xdr:col>
      <xdr:colOff>111369</xdr:colOff>
      <xdr:row>10</xdr:row>
      <xdr:rowOff>11724</xdr:rowOff>
    </xdr:to>
    <xdr:sp macro="" textlink="">
      <xdr:nvSpPr>
        <xdr:cNvPr id="24" name="ZoneTexte 23"/>
        <xdr:cNvSpPr txBox="1"/>
      </xdr:nvSpPr>
      <xdr:spPr>
        <a:xfrm>
          <a:off x="614172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h</a:t>
          </a:r>
        </a:p>
      </xdr:txBody>
    </xdr:sp>
    <xdr:clientData fLocksWithSheet="0"/>
  </xdr:twoCellAnchor>
  <xdr:twoCellAnchor>
    <xdr:from>
      <xdr:col>9</xdr:col>
      <xdr:colOff>0</xdr:colOff>
      <xdr:row>10</xdr:row>
      <xdr:rowOff>0</xdr:rowOff>
    </xdr:from>
    <xdr:to>
      <xdr:col>9</xdr:col>
      <xdr:colOff>111369</xdr:colOff>
      <xdr:row>11</xdr:row>
      <xdr:rowOff>11724</xdr:rowOff>
    </xdr:to>
    <xdr:sp macro="" textlink="">
      <xdr:nvSpPr>
        <xdr:cNvPr id="25" name="ZoneTexte 24"/>
        <xdr:cNvSpPr txBox="1"/>
      </xdr:nvSpPr>
      <xdr:spPr>
        <a:xfrm>
          <a:off x="614172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i</a:t>
          </a:r>
        </a:p>
      </xdr:txBody>
    </xdr:sp>
    <xdr:clientData fLocksWithSheet="0"/>
  </xdr:twoCellAnchor>
  <xdr:twoCellAnchor>
    <xdr:from>
      <xdr:col>9</xdr:col>
      <xdr:colOff>0</xdr:colOff>
      <xdr:row>11</xdr:row>
      <xdr:rowOff>0</xdr:rowOff>
    </xdr:from>
    <xdr:to>
      <xdr:col>9</xdr:col>
      <xdr:colOff>111369</xdr:colOff>
      <xdr:row>12</xdr:row>
      <xdr:rowOff>11724</xdr:rowOff>
    </xdr:to>
    <xdr:sp macro="" textlink="">
      <xdr:nvSpPr>
        <xdr:cNvPr id="26" name="ZoneTexte 25"/>
        <xdr:cNvSpPr txBox="1"/>
      </xdr:nvSpPr>
      <xdr:spPr>
        <a:xfrm>
          <a:off x="614172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j</a:t>
          </a:r>
        </a:p>
      </xdr:txBody>
    </xdr:sp>
    <xdr:clientData fLocksWithSheet="0"/>
  </xdr:twoCellAnchor>
  <xdr:twoCellAnchor>
    <xdr:from>
      <xdr:col>9</xdr:col>
      <xdr:colOff>0</xdr:colOff>
      <xdr:row>12</xdr:row>
      <xdr:rowOff>0</xdr:rowOff>
    </xdr:from>
    <xdr:to>
      <xdr:col>9</xdr:col>
      <xdr:colOff>111369</xdr:colOff>
      <xdr:row>13</xdr:row>
      <xdr:rowOff>11724</xdr:rowOff>
    </xdr:to>
    <xdr:sp macro="" textlink="">
      <xdr:nvSpPr>
        <xdr:cNvPr id="27" name="ZoneTexte 26"/>
        <xdr:cNvSpPr txBox="1"/>
      </xdr:nvSpPr>
      <xdr:spPr>
        <a:xfrm>
          <a:off x="614172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k</a:t>
          </a:r>
        </a:p>
      </xdr:txBody>
    </xdr:sp>
    <xdr:clientData fLocksWithSheet="0"/>
  </xdr:twoCellAnchor>
  <xdr:twoCellAnchor>
    <xdr:from>
      <xdr:col>9</xdr:col>
      <xdr:colOff>0</xdr:colOff>
      <xdr:row>13</xdr:row>
      <xdr:rowOff>0</xdr:rowOff>
    </xdr:from>
    <xdr:to>
      <xdr:col>9</xdr:col>
      <xdr:colOff>111369</xdr:colOff>
      <xdr:row>14</xdr:row>
      <xdr:rowOff>11724</xdr:rowOff>
    </xdr:to>
    <xdr:sp macro="" textlink="">
      <xdr:nvSpPr>
        <xdr:cNvPr id="28" name="ZoneTexte 27"/>
        <xdr:cNvSpPr txBox="1"/>
      </xdr:nvSpPr>
      <xdr:spPr>
        <a:xfrm>
          <a:off x="614172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l</a:t>
          </a:r>
        </a:p>
      </xdr:txBody>
    </xdr:sp>
    <xdr:clientData fLocksWithSheet="0"/>
  </xdr:twoCellAnchor>
  <xdr:twoCellAnchor>
    <xdr:from>
      <xdr:col>9</xdr:col>
      <xdr:colOff>0</xdr:colOff>
      <xdr:row>14</xdr:row>
      <xdr:rowOff>0</xdr:rowOff>
    </xdr:from>
    <xdr:to>
      <xdr:col>9</xdr:col>
      <xdr:colOff>111369</xdr:colOff>
      <xdr:row>15</xdr:row>
      <xdr:rowOff>11724</xdr:rowOff>
    </xdr:to>
    <xdr:sp macro="" textlink="">
      <xdr:nvSpPr>
        <xdr:cNvPr id="29" name="ZoneTexte 28"/>
        <xdr:cNvSpPr txBox="1"/>
      </xdr:nvSpPr>
      <xdr:spPr>
        <a:xfrm>
          <a:off x="614172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m</a:t>
          </a:r>
        </a:p>
      </xdr:txBody>
    </xdr:sp>
    <xdr:clientData fLocksWithSheet="0"/>
  </xdr:twoCellAnchor>
  <xdr:twoCellAnchor>
    <xdr:from>
      <xdr:col>9</xdr:col>
      <xdr:colOff>0</xdr:colOff>
      <xdr:row>14</xdr:row>
      <xdr:rowOff>175846</xdr:rowOff>
    </xdr:from>
    <xdr:to>
      <xdr:col>9</xdr:col>
      <xdr:colOff>111369</xdr:colOff>
      <xdr:row>16</xdr:row>
      <xdr:rowOff>11723</xdr:rowOff>
    </xdr:to>
    <xdr:sp macro="" textlink="">
      <xdr:nvSpPr>
        <xdr:cNvPr id="30" name="ZoneTexte 29"/>
        <xdr:cNvSpPr txBox="1"/>
      </xdr:nvSpPr>
      <xdr:spPr>
        <a:xfrm>
          <a:off x="614172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n</a:t>
          </a:r>
        </a:p>
      </xdr:txBody>
    </xdr:sp>
    <xdr:clientData fLocksWithSheet="0"/>
  </xdr:twoCellAnchor>
  <xdr:twoCellAnchor>
    <xdr:from>
      <xdr:col>9</xdr:col>
      <xdr:colOff>0</xdr:colOff>
      <xdr:row>16</xdr:row>
      <xdr:rowOff>0</xdr:rowOff>
    </xdr:from>
    <xdr:to>
      <xdr:col>9</xdr:col>
      <xdr:colOff>111369</xdr:colOff>
      <xdr:row>17</xdr:row>
      <xdr:rowOff>11724</xdr:rowOff>
    </xdr:to>
    <xdr:sp macro="" textlink="">
      <xdr:nvSpPr>
        <xdr:cNvPr id="31" name="ZoneTexte 30"/>
        <xdr:cNvSpPr txBox="1"/>
      </xdr:nvSpPr>
      <xdr:spPr>
        <a:xfrm>
          <a:off x="614172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o</a:t>
          </a:r>
        </a:p>
      </xdr:txBody>
    </xdr:sp>
    <xdr:clientData fLocksWithSheet="0"/>
  </xdr:twoCellAnchor>
  <xdr:twoCellAnchor>
    <xdr:from>
      <xdr:col>9</xdr:col>
      <xdr:colOff>0</xdr:colOff>
      <xdr:row>17</xdr:row>
      <xdr:rowOff>0</xdr:rowOff>
    </xdr:from>
    <xdr:to>
      <xdr:col>9</xdr:col>
      <xdr:colOff>111369</xdr:colOff>
      <xdr:row>18</xdr:row>
      <xdr:rowOff>11724</xdr:rowOff>
    </xdr:to>
    <xdr:sp macro="" textlink="">
      <xdr:nvSpPr>
        <xdr:cNvPr id="32" name="ZoneTexte 31"/>
        <xdr:cNvSpPr txBox="1"/>
      </xdr:nvSpPr>
      <xdr:spPr>
        <a:xfrm>
          <a:off x="614172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p</a:t>
          </a:r>
        </a:p>
      </xdr:txBody>
    </xdr:sp>
    <xdr:clientData fLocksWithSheet="0"/>
  </xdr:twoCellAnchor>
  <xdr:twoCellAnchor>
    <xdr:from>
      <xdr:col>9</xdr:col>
      <xdr:colOff>0</xdr:colOff>
      <xdr:row>18</xdr:row>
      <xdr:rowOff>0</xdr:rowOff>
    </xdr:from>
    <xdr:to>
      <xdr:col>9</xdr:col>
      <xdr:colOff>111369</xdr:colOff>
      <xdr:row>19</xdr:row>
      <xdr:rowOff>11724</xdr:rowOff>
    </xdr:to>
    <xdr:sp macro="" textlink="">
      <xdr:nvSpPr>
        <xdr:cNvPr id="33" name="ZoneTexte 32"/>
        <xdr:cNvSpPr txBox="1"/>
      </xdr:nvSpPr>
      <xdr:spPr>
        <a:xfrm>
          <a:off x="614172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q</a:t>
          </a:r>
        </a:p>
      </xdr:txBody>
    </xdr:sp>
    <xdr:clientData fLocksWithSheet="0"/>
  </xdr:twoCellAnchor>
  <xdr:twoCellAnchor>
    <xdr:from>
      <xdr:col>9</xdr:col>
      <xdr:colOff>0</xdr:colOff>
      <xdr:row>19</xdr:row>
      <xdr:rowOff>0</xdr:rowOff>
    </xdr:from>
    <xdr:to>
      <xdr:col>9</xdr:col>
      <xdr:colOff>111369</xdr:colOff>
      <xdr:row>20</xdr:row>
      <xdr:rowOff>11724</xdr:rowOff>
    </xdr:to>
    <xdr:sp macro="" textlink="">
      <xdr:nvSpPr>
        <xdr:cNvPr id="34" name="ZoneTexte 33"/>
        <xdr:cNvSpPr txBox="1"/>
      </xdr:nvSpPr>
      <xdr:spPr>
        <a:xfrm>
          <a:off x="614172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r</a:t>
          </a:r>
        </a:p>
      </xdr:txBody>
    </xdr:sp>
    <xdr:clientData fLocksWithSheet="0"/>
  </xdr:twoCellAnchor>
  <xdr:twoCellAnchor>
    <xdr:from>
      <xdr:col>9</xdr:col>
      <xdr:colOff>0</xdr:colOff>
      <xdr:row>20</xdr:row>
      <xdr:rowOff>0</xdr:rowOff>
    </xdr:from>
    <xdr:to>
      <xdr:col>9</xdr:col>
      <xdr:colOff>111369</xdr:colOff>
      <xdr:row>21</xdr:row>
      <xdr:rowOff>11724</xdr:rowOff>
    </xdr:to>
    <xdr:sp macro="" textlink="">
      <xdr:nvSpPr>
        <xdr:cNvPr id="35" name="ZoneTexte 34"/>
        <xdr:cNvSpPr txBox="1"/>
      </xdr:nvSpPr>
      <xdr:spPr>
        <a:xfrm>
          <a:off x="614172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s</a:t>
          </a:r>
        </a:p>
      </xdr:txBody>
    </xdr:sp>
    <xdr:clientData fLocksWithSheet="0"/>
  </xdr:twoCellAnchor>
  <xdr:twoCellAnchor>
    <xdr:from>
      <xdr:col>9</xdr:col>
      <xdr:colOff>0</xdr:colOff>
      <xdr:row>21</xdr:row>
      <xdr:rowOff>0</xdr:rowOff>
    </xdr:from>
    <xdr:to>
      <xdr:col>9</xdr:col>
      <xdr:colOff>111369</xdr:colOff>
      <xdr:row>22</xdr:row>
      <xdr:rowOff>11723</xdr:rowOff>
    </xdr:to>
    <xdr:sp macro="" textlink="">
      <xdr:nvSpPr>
        <xdr:cNvPr id="36" name="ZoneTexte 35"/>
        <xdr:cNvSpPr txBox="1"/>
      </xdr:nvSpPr>
      <xdr:spPr>
        <a:xfrm>
          <a:off x="614172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t</a:t>
          </a:r>
        </a:p>
      </xdr:txBody>
    </xdr:sp>
    <xdr:clientData fLocksWithSheet="0"/>
  </xdr:twoCellAnchor>
  <xdr:twoCellAnchor>
    <xdr:from>
      <xdr:col>9</xdr:col>
      <xdr:colOff>0</xdr:colOff>
      <xdr:row>22</xdr:row>
      <xdr:rowOff>0</xdr:rowOff>
    </xdr:from>
    <xdr:to>
      <xdr:col>9</xdr:col>
      <xdr:colOff>111369</xdr:colOff>
      <xdr:row>23</xdr:row>
      <xdr:rowOff>11724</xdr:rowOff>
    </xdr:to>
    <xdr:sp macro="" textlink="">
      <xdr:nvSpPr>
        <xdr:cNvPr id="37" name="ZoneTexte 36"/>
        <xdr:cNvSpPr txBox="1"/>
      </xdr:nvSpPr>
      <xdr:spPr>
        <a:xfrm>
          <a:off x="614172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u</a:t>
          </a:r>
        </a:p>
      </xdr:txBody>
    </xdr:sp>
    <xdr:clientData fLocksWithSheet="0"/>
  </xdr:twoCellAnchor>
  <xdr:twoCellAnchor>
    <xdr:from>
      <xdr:col>9</xdr:col>
      <xdr:colOff>0</xdr:colOff>
      <xdr:row>23</xdr:row>
      <xdr:rowOff>0</xdr:rowOff>
    </xdr:from>
    <xdr:to>
      <xdr:col>9</xdr:col>
      <xdr:colOff>111369</xdr:colOff>
      <xdr:row>24</xdr:row>
      <xdr:rowOff>11724</xdr:rowOff>
    </xdr:to>
    <xdr:sp macro="" textlink="">
      <xdr:nvSpPr>
        <xdr:cNvPr id="38" name="ZoneTexte 37"/>
        <xdr:cNvSpPr txBox="1"/>
      </xdr:nvSpPr>
      <xdr:spPr>
        <a:xfrm>
          <a:off x="614172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v</a:t>
          </a:r>
        </a:p>
      </xdr:txBody>
    </xdr:sp>
    <xdr:clientData fLocksWithSheet="0"/>
  </xdr:twoCellAnchor>
  <xdr:twoCellAnchor>
    <xdr:from>
      <xdr:col>9</xdr:col>
      <xdr:colOff>0</xdr:colOff>
      <xdr:row>24</xdr:row>
      <xdr:rowOff>0</xdr:rowOff>
    </xdr:from>
    <xdr:to>
      <xdr:col>9</xdr:col>
      <xdr:colOff>111369</xdr:colOff>
      <xdr:row>25</xdr:row>
      <xdr:rowOff>11724</xdr:rowOff>
    </xdr:to>
    <xdr:sp macro="" textlink="">
      <xdr:nvSpPr>
        <xdr:cNvPr id="39" name="ZoneTexte 38"/>
        <xdr:cNvSpPr txBox="1"/>
      </xdr:nvSpPr>
      <xdr:spPr>
        <a:xfrm>
          <a:off x="614172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w</a:t>
          </a:r>
        </a:p>
      </xdr:txBody>
    </xdr:sp>
    <xdr:clientData fLocksWithSheet="0"/>
  </xdr:twoCellAnchor>
  <xdr:twoCellAnchor>
    <xdr:from>
      <xdr:col>9</xdr:col>
      <xdr:colOff>0</xdr:colOff>
      <xdr:row>25</xdr:row>
      <xdr:rowOff>0</xdr:rowOff>
    </xdr:from>
    <xdr:to>
      <xdr:col>9</xdr:col>
      <xdr:colOff>111369</xdr:colOff>
      <xdr:row>26</xdr:row>
      <xdr:rowOff>11724</xdr:rowOff>
    </xdr:to>
    <xdr:sp macro="" textlink="">
      <xdr:nvSpPr>
        <xdr:cNvPr id="40" name="ZoneTexte 39"/>
        <xdr:cNvSpPr txBox="1"/>
      </xdr:nvSpPr>
      <xdr:spPr>
        <a:xfrm>
          <a:off x="614172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x</a:t>
          </a:r>
        </a:p>
      </xdr:txBody>
    </xdr:sp>
    <xdr:clientData fLocksWithSheet="0"/>
  </xdr:twoCellAnchor>
  <xdr:twoCellAnchor>
    <xdr:from>
      <xdr:col>9</xdr:col>
      <xdr:colOff>0</xdr:colOff>
      <xdr:row>26</xdr:row>
      <xdr:rowOff>0</xdr:rowOff>
    </xdr:from>
    <xdr:to>
      <xdr:col>9</xdr:col>
      <xdr:colOff>111369</xdr:colOff>
      <xdr:row>27</xdr:row>
      <xdr:rowOff>11724</xdr:rowOff>
    </xdr:to>
    <xdr:sp macro="" textlink="">
      <xdr:nvSpPr>
        <xdr:cNvPr id="41" name="ZoneTexte 40"/>
        <xdr:cNvSpPr txBox="1"/>
      </xdr:nvSpPr>
      <xdr:spPr>
        <a:xfrm>
          <a:off x="614172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y</a:t>
          </a:r>
        </a:p>
      </xdr:txBody>
    </xdr:sp>
    <xdr:clientData fLocksWithSheet="0"/>
  </xdr:twoCellAnchor>
  <xdr:twoCellAnchor>
    <xdr:from>
      <xdr:col>9</xdr:col>
      <xdr:colOff>0</xdr:colOff>
      <xdr:row>27</xdr:row>
      <xdr:rowOff>0</xdr:rowOff>
    </xdr:from>
    <xdr:to>
      <xdr:col>9</xdr:col>
      <xdr:colOff>111369</xdr:colOff>
      <xdr:row>28</xdr:row>
      <xdr:rowOff>11724</xdr:rowOff>
    </xdr:to>
    <xdr:sp macro="" textlink="">
      <xdr:nvSpPr>
        <xdr:cNvPr id="42" name="ZoneTexte 41"/>
        <xdr:cNvSpPr txBox="1"/>
      </xdr:nvSpPr>
      <xdr:spPr>
        <a:xfrm>
          <a:off x="614172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FF0000"/>
              </a:solidFill>
            </a:rPr>
            <a:t>z</a:t>
          </a:r>
        </a:p>
      </xdr:txBody>
    </xdr:sp>
    <xdr:clientData fLocksWithSheet="0"/>
  </xdr:twoCellAnchor>
  <xdr:twoCellAnchor>
    <xdr:from>
      <xdr:col>10</xdr:col>
      <xdr:colOff>0</xdr:colOff>
      <xdr:row>4</xdr:row>
      <xdr:rowOff>0</xdr:rowOff>
    </xdr:from>
    <xdr:to>
      <xdr:col>10</xdr:col>
      <xdr:colOff>111369</xdr:colOff>
      <xdr:row>5</xdr:row>
      <xdr:rowOff>11724</xdr:rowOff>
    </xdr:to>
    <xdr:sp macro="" textlink="">
      <xdr:nvSpPr>
        <xdr:cNvPr id="43" name="ZoneTexte 42"/>
        <xdr:cNvSpPr txBox="1"/>
      </xdr:nvSpPr>
      <xdr:spPr>
        <a:xfrm>
          <a:off x="653796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c</a:t>
          </a:r>
        </a:p>
      </xdr:txBody>
    </xdr:sp>
    <xdr:clientData fLocksWithSheet="0"/>
  </xdr:twoCellAnchor>
  <xdr:twoCellAnchor>
    <xdr:from>
      <xdr:col>10</xdr:col>
      <xdr:colOff>0</xdr:colOff>
      <xdr:row>5</xdr:row>
      <xdr:rowOff>0</xdr:rowOff>
    </xdr:from>
    <xdr:to>
      <xdr:col>10</xdr:col>
      <xdr:colOff>111369</xdr:colOff>
      <xdr:row>6</xdr:row>
      <xdr:rowOff>5862</xdr:rowOff>
    </xdr:to>
    <xdr:sp macro="" textlink="">
      <xdr:nvSpPr>
        <xdr:cNvPr id="44" name="ZoneTexte 43"/>
        <xdr:cNvSpPr txBox="1"/>
      </xdr:nvSpPr>
      <xdr:spPr>
        <a:xfrm>
          <a:off x="653796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d</a:t>
          </a:r>
        </a:p>
      </xdr:txBody>
    </xdr:sp>
    <xdr:clientData fLocksWithSheet="0"/>
  </xdr:twoCellAnchor>
  <xdr:twoCellAnchor>
    <xdr:from>
      <xdr:col>10</xdr:col>
      <xdr:colOff>0</xdr:colOff>
      <xdr:row>6</xdr:row>
      <xdr:rowOff>0</xdr:rowOff>
    </xdr:from>
    <xdr:to>
      <xdr:col>10</xdr:col>
      <xdr:colOff>111369</xdr:colOff>
      <xdr:row>7</xdr:row>
      <xdr:rowOff>11724</xdr:rowOff>
    </xdr:to>
    <xdr:sp macro="" textlink="">
      <xdr:nvSpPr>
        <xdr:cNvPr id="45" name="ZoneTexte 44"/>
        <xdr:cNvSpPr txBox="1"/>
      </xdr:nvSpPr>
      <xdr:spPr>
        <a:xfrm>
          <a:off x="653796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e</a:t>
          </a:r>
        </a:p>
      </xdr:txBody>
    </xdr:sp>
    <xdr:clientData fLocksWithSheet="0"/>
  </xdr:twoCellAnchor>
  <xdr:twoCellAnchor>
    <xdr:from>
      <xdr:col>10</xdr:col>
      <xdr:colOff>0</xdr:colOff>
      <xdr:row>7</xdr:row>
      <xdr:rowOff>0</xdr:rowOff>
    </xdr:from>
    <xdr:to>
      <xdr:col>10</xdr:col>
      <xdr:colOff>111369</xdr:colOff>
      <xdr:row>8</xdr:row>
      <xdr:rowOff>11724</xdr:rowOff>
    </xdr:to>
    <xdr:sp macro="" textlink="">
      <xdr:nvSpPr>
        <xdr:cNvPr id="46" name="ZoneTexte 45"/>
        <xdr:cNvSpPr txBox="1"/>
      </xdr:nvSpPr>
      <xdr:spPr>
        <a:xfrm>
          <a:off x="653796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fb</a:t>
          </a:r>
        </a:p>
      </xdr:txBody>
    </xdr:sp>
    <xdr:clientData fLocksWithSheet="0"/>
  </xdr:twoCellAnchor>
  <xdr:twoCellAnchor>
    <xdr:from>
      <xdr:col>10</xdr:col>
      <xdr:colOff>0</xdr:colOff>
      <xdr:row>8</xdr:row>
      <xdr:rowOff>0</xdr:rowOff>
    </xdr:from>
    <xdr:to>
      <xdr:col>10</xdr:col>
      <xdr:colOff>111369</xdr:colOff>
      <xdr:row>9</xdr:row>
      <xdr:rowOff>11723</xdr:rowOff>
    </xdr:to>
    <xdr:sp macro="" textlink="">
      <xdr:nvSpPr>
        <xdr:cNvPr id="47" name="ZoneTexte 46"/>
        <xdr:cNvSpPr txBox="1"/>
      </xdr:nvSpPr>
      <xdr:spPr>
        <a:xfrm>
          <a:off x="653796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g</a:t>
          </a:r>
        </a:p>
      </xdr:txBody>
    </xdr:sp>
    <xdr:clientData fLocksWithSheet="0"/>
  </xdr:twoCellAnchor>
  <xdr:twoCellAnchor>
    <xdr:from>
      <xdr:col>10</xdr:col>
      <xdr:colOff>0</xdr:colOff>
      <xdr:row>3</xdr:row>
      <xdr:rowOff>0</xdr:rowOff>
    </xdr:from>
    <xdr:to>
      <xdr:col>10</xdr:col>
      <xdr:colOff>111369</xdr:colOff>
      <xdr:row>4</xdr:row>
      <xdr:rowOff>11724</xdr:rowOff>
    </xdr:to>
    <xdr:sp macro="" textlink="">
      <xdr:nvSpPr>
        <xdr:cNvPr id="48" name="ZoneTexte 47"/>
        <xdr:cNvSpPr txBox="1"/>
      </xdr:nvSpPr>
      <xdr:spPr>
        <a:xfrm>
          <a:off x="653796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b</a:t>
          </a:r>
        </a:p>
      </xdr:txBody>
    </xdr:sp>
    <xdr:clientData fLocksWithSheet="0"/>
  </xdr:twoCellAnchor>
  <xdr:twoCellAnchor>
    <xdr:from>
      <xdr:col>10</xdr:col>
      <xdr:colOff>0</xdr:colOff>
      <xdr:row>2</xdr:row>
      <xdr:rowOff>0</xdr:rowOff>
    </xdr:from>
    <xdr:to>
      <xdr:col>10</xdr:col>
      <xdr:colOff>111369</xdr:colOff>
      <xdr:row>3</xdr:row>
      <xdr:rowOff>11724</xdr:rowOff>
    </xdr:to>
    <xdr:sp macro="" textlink="">
      <xdr:nvSpPr>
        <xdr:cNvPr id="49" name="ZoneTexte 48"/>
        <xdr:cNvSpPr txBox="1"/>
      </xdr:nvSpPr>
      <xdr:spPr>
        <a:xfrm>
          <a:off x="653796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a</a:t>
          </a:r>
        </a:p>
      </xdr:txBody>
    </xdr:sp>
    <xdr:clientData fLocksWithSheet="0"/>
  </xdr:twoCellAnchor>
  <xdr:twoCellAnchor>
    <xdr:from>
      <xdr:col>10</xdr:col>
      <xdr:colOff>0</xdr:colOff>
      <xdr:row>9</xdr:row>
      <xdr:rowOff>0</xdr:rowOff>
    </xdr:from>
    <xdr:to>
      <xdr:col>10</xdr:col>
      <xdr:colOff>111369</xdr:colOff>
      <xdr:row>10</xdr:row>
      <xdr:rowOff>11724</xdr:rowOff>
    </xdr:to>
    <xdr:sp macro="" textlink="">
      <xdr:nvSpPr>
        <xdr:cNvPr id="50" name="ZoneTexte 49"/>
        <xdr:cNvSpPr txBox="1"/>
      </xdr:nvSpPr>
      <xdr:spPr>
        <a:xfrm>
          <a:off x="653796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h</a:t>
          </a:r>
        </a:p>
      </xdr:txBody>
    </xdr:sp>
    <xdr:clientData fLocksWithSheet="0"/>
  </xdr:twoCellAnchor>
  <xdr:twoCellAnchor>
    <xdr:from>
      <xdr:col>10</xdr:col>
      <xdr:colOff>0</xdr:colOff>
      <xdr:row>10</xdr:row>
      <xdr:rowOff>0</xdr:rowOff>
    </xdr:from>
    <xdr:to>
      <xdr:col>10</xdr:col>
      <xdr:colOff>111369</xdr:colOff>
      <xdr:row>11</xdr:row>
      <xdr:rowOff>11724</xdr:rowOff>
    </xdr:to>
    <xdr:sp macro="" textlink="">
      <xdr:nvSpPr>
        <xdr:cNvPr id="51" name="ZoneTexte 50"/>
        <xdr:cNvSpPr txBox="1"/>
      </xdr:nvSpPr>
      <xdr:spPr>
        <a:xfrm>
          <a:off x="653796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i</a:t>
          </a:r>
        </a:p>
      </xdr:txBody>
    </xdr:sp>
    <xdr:clientData fLocksWithSheet="0"/>
  </xdr:twoCellAnchor>
  <xdr:twoCellAnchor>
    <xdr:from>
      <xdr:col>10</xdr:col>
      <xdr:colOff>0</xdr:colOff>
      <xdr:row>11</xdr:row>
      <xdr:rowOff>0</xdr:rowOff>
    </xdr:from>
    <xdr:to>
      <xdr:col>10</xdr:col>
      <xdr:colOff>111369</xdr:colOff>
      <xdr:row>12</xdr:row>
      <xdr:rowOff>11724</xdr:rowOff>
    </xdr:to>
    <xdr:sp macro="" textlink="">
      <xdr:nvSpPr>
        <xdr:cNvPr id="52" name="ZoneTexte 51"/>
        <xdr:cNvSpPr txBox="1"/>
      </xdr:nvSpPr>
      <xdr:spPr>
        <a:xfrm>
          <a:off x="653796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j</a:t>
          </a:r>
        </a:p>
      </xdr:txBody>
    </xdr:sp>
    <xdr:clientData fLocksWithSheet="0"/>
  </xdr:twoCellAnchor>
  <xdr:twoCellAnchor>
    <xdr:from>
      <xdr:col>10</xdr:col>
      <xdr:colOff>0</xdr:colOff>
      <xdr:row>12</xdr:row>
      <xdr:rowOff>0</xdr:rowOff>
    </xdr:from>
    <xdr:to>
      <xdr:col>10</xdr:col>
      <xdr:colOff>111369</xdr:colOff>
      <xdr:row>13</xdr:row>
      <xdr:rowOff>11724</xdr:rowOff>
    </xdr:to>
    <xdr:sp macro="" textlink="">
      <xdr:nvSpPr>
        <xdr:cNvPr id="53" name="ZoneTexte 52"/>
        <xdr:cNvSpPr txBox="1"/>
      </xdr:nvSpPr>
      <xdr:spPr>
        <a:xfrm>
          <a:off x="653796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k</a:t>
          </a:r>
        </a:p>
      </xdr:txBody>
    </xdr:sp>
    <xdr:clientData fLocksWithSheet="0"/>
  </xdr:twoCellAnchor>
  <xdr:twoCellAnchor>
    <xdr:from>
      <xdr:col>10</xdr:col>
      <xdr:colOff>0</xdr:colOff>
      <xdr:row>13</xdr:row>
      <xdr:rowOff>0</xdr:rowOff>
    </xdr:from>
    <xdr:to>
      <xdr:col>10</xdr:col>
      <xdr:colOff>111369</xdr:colOff>
      <xdr:row>14</xdr:row>
      <xdr:rowOff>11724</xdr:rowOff>
    </xdr:to>
    <xdr:sp macro="" textlink="">
      <xdr:nvSpPr>
        <xdr:cNvPr id="54" name="ZoneTexte 53"/>
        <xdr:cNvSpPr txBox="1"/>
      </xdr:nvSpPr>
      <xdr:spPr>
        <a:xfrm>
          <a:off x="653796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l</a:t>
          </a:r>
        </a:p>
      </xdr:txBody>
    </xdr:sp>
    <xdr:clientData fLocksWithSheet="0"/>
  </xdr:twoCellAnchor>
  <xdr:twoCellAnchor>
    <xdr:from>
      <xdr:col>10</xdr:col>
      <xdr:colOff>0</xdr:colOff>
      <xdr:row>14</xdr:row>
      <xdr:rowOff>0</xdr:rowOff>
    </xdr:from>
    <xdr:to>
      <xdr:col>10</xdr:col>
      <xdr:colOff>111369</xdr:colOff>
      <xdr:row>15</xdr:row>
      <xdr:rowOff>11724</xdr:rowOff>
    </xdr:to>
    <xdr:sp macro="" textlink="">
      <xdr:nvSpPr>
        <xdr:cNvPr id="55" name="ZoneTexte 54"/>
        <xdr:cNvSpPr txBox="1"/>
      </xdr:nvSpPr>
      <xdr:spPr>
        <a:xfrm>
          <a:off x="653796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m</a:t>
          </a:r>
        </a:p>
      </xdr:txBody>
    </xdr:sp>
    <xdr:clientData fLocksWithSheet="0"/>
  </xdr:twoCellAnchor>
  <xdr:twoCellAnchor>
    <xdr:from>
      <xdr:col>10</xdr:col>
      <xdr:colOff>0</xdr:colOff>
      <xdr:row>14</xdr:row>
      <xdr:rowOff>175846</xdr:rowOff>
    </xdr:from>
    <xdr:to>
      <xdr:col>10</xdr:col>
      <xdr:colOff>111369</xdr:colOff>
      <xdr:row>16</xdr:row>
      <xdr:rowOff>11723</xdr:rowOff>
    </xdr:to>
    <xdr:sp macro="" textlink="">
      <xdr:nvSpPr>
        <xdr:cNvPr id="56" name="ZoneTexte 55"/>
        <xdr:cNvSpPr txBox="1"/>
      </xdr:nvSpPr>
      <xdr:spPr>
        <a:xfrm>
          <a:off x="653796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n</a:t>
          </a:r>
        </a:p>
      </xdr:txBody>
    </xdr:sp>
    <xdr:clientData fLocksWithSheet="0"/>
  </xdr:twoCellAnchor>
  <xdr:twoCellAnchor>
    <xdr:from>
      <xdr:col>10</xdr:col>
      <xdr:colOff>0</xdr:colOff>
      <xdr:row>16</xdr:row>
      <xdr:rowOff>0</xdr:rowOff>
    </xdr:from>
    <xdr:to>
      <xdr:col>10</xdr:col>
      <xdr:colOff>111369</xdr:colOff>
      <xdr:row>17</xdr:row>
      <xdr:rowOff>11724</xdr:rowOff>
    </xdr:to>
    <xdr:sp macro="" textlink="">
      <xdr:nvSpPr>
        <xdr:cNvPr id="57" name="ZoneTexte 56"/>
        <xdr:cNvSpPr txBox="1"/>
      </xdr:nvSpPr>
      <xdr:spPr>
        <a:xfrm>
          <a:off x="653796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o</a:t>
          </a:r>
        </a:p>
      </xdr:txBody>
    </xdr:sp>
    <xdr:clientData fLocksWithSheet="0"/>
  </xdr:twoCellAnchor>
  <xdr:twoCellAnchor>
    <xdr:from>
      <xdr:col>10</xdr:col>
      <xdr:colOff>0</xdr:colOff>
      <xdr:row>17</xdr:row>
      <xdr:rowOff>0</xdr:rowOff>
    </xdr:from>
    <xdr:to>
      <xdr:col>10</xdr:col>
      <xdr:colOff>111369</xdr:colOff>
      <xdr:row>18</xdr:row>
      <xdr:rowOff>11724</xdr:rowOff>
    </xdr:to>
    <xdr:sp macro="" textlink="">
      <xdr:nvSpPr>
        <xdr:cNvPr id="58" name="ZoneTexte 57"/>
        <xdr:cNvSpPr txBox="1"/>
      </xdr:nvSpPr>
      <xdr:spPr>
        <a:xfrm>
          <a:off x="653796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p</a:t>
          </a:r>
        </a:p>
      </xdr:txBody>
    </xdr:sp>
    <xdr:clientData fLocksWithSheet="0"/>
  </xdr:twoCellAnchor>
  <xdr:twoCellAnchor>
    <xdr:from>
      <xdr:col>10</xdr:col>
      <xdr:colOff>0</xdr:colOff>
      <xdr:row>18</xdr:row>
      <xdr:rowOff>0</xdr:rowOff>
    </xdr:from>
    <xdr:to>
      <xdr:col>10</xdr:col>
      <xdr:colOff>111369</xdr:colOff>
      <xdr:row>19</xdr:row>
      <xdr:rowOff>11724</xdr:rowOff>
    </xdr:to>
    <xdr:sp macro="" textlink="">
      <xdr:nvSpPr>
        <xdr:cNvPr id="59" name="ZoneTexte 58"/>
        <xdr:cNvSpPr txBox="1"/>
      </xdr:nvSpPr>
      <xdr:spPr>
        <a:xfrm>
          <a:off x="653796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q</a:t>
          </a:r>
        </a:p>
      </xdr:txBody>
    </xdr:sp>
    <xdr:clientData fLocksWithSheet="0"/>
  </xdr:twoCellAnchor>
  <xdr:twoCellAnchor>
    <xdr:from>
      <xdr:col>10</xdr:col>
      <xdr:colOff>0</xdr:colOff>
      <xdr:row>19</xdr:row>
      <xdr:rowOff>0</xdr:rowOff>
    </xdr:from>
    <xdr:to>
      <xdr:col>10</xdr:col>
      <xdr:colOff>111369</xdr:colOff>
      <xdr:row>20</xdr:row>
      <xdr:rowOff>11724</xdr:rowOff>
    </xdr:to>
    <xdr:sp macro="" textlink="">
      <xdr:nvSpPr>
        <xdr:cNvPr id="60" name="ZoneTexte 59"/>
        <xdr:cNvSpPr txBox="1"/>
      </xdr:nvSpPr>
      <xdr:spPr>
        <a:xfrm>
          <a:off x="653796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r</a:t>
          </a:r>
        </a:p>
      </xdr:txBody>
    </xdr:sp>
    <xdr:clientData fLocksWithSheet="0"/>
  </xdr:twoCellAnchor>
  <xdr:twoCellAnchor>
    <xdr:from>
      <xdr:col>10</xdr:col>
      <xdr:colOff>0</xdr:colOff>
      <xdr:row>20</xdr:row>
      <xdr:rowOff>0</xdr:rowOff>
    </xdr:from>
    <xdr:to>
      <xdr:col>10</xdr:col>
      <xdr:colOff>111369</xdr:colOff>
      <xdr:row>21</xdr:row>
      <xdr:rowOff>11724</xdr:rowOff>
    </xdr:to>
    <xdr:sp macro="" textlink="">
      <xdr:nvSpPr>
        <xdr:cNvPr id="61" name="ZoneTexte 60"/>
        <xdr:cNvSpPr txBox="1"/>
      </xdr:nvSpPr>
      <xdr:spPr>
        <a:xfrm>
          <a:off x="653796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s</a:t>
          </a:r>
        </a:p>
      </xdr:txBody>
    </xdr:sp>
    <xdr:clientData fLocksWithSheet="0"/>
  </xdr:twoCellAnchor>
  <xdr:twoCellAnchor>
    <xdr:from>
      <xdr:col>10</xdr:col>
      <xdr:colOff>0</xdr:colOff>
      <xdr:row>21</xdr:row>
      <xdr:rowOff>0</xdr:rowOff>
    </xdr:from>
    <xdr:to>
      <xdr:col>10</xdr:col>
      <xdr:colOff>111369</xdr:colOff>
      <xdr:row>22</xdr:row>
      <xdr:rowOff>11723</xdr:rowOff>
    </xdr:to>
    <xdr:sp macro="" textlink="">
      <xdr:nvSpPr>
        <xdr:cNvPr id="62" name="ZoneTexte 61"/>
        <xdr:cNvSpPr txBox="1"/>
      </xdr:nvSpPr>
      <xdr:spPr>
        <a:xfrm>
          <a:off x="653796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t</a:t>
          </a:r>
        </a:p>
      </xdr:txBody>
    </xdr:sp>
    <xdr:clientData fLocksWithSheet="0"/>
  </xdr:twoCellAnchor>
  <xdr:twoCellAnchor>
    <xdr:from>
      <xdr:col>10</xdr:col>
      <xdr:colOff>0</xdr:colOff>
      <xdr:row>22</xdr:row>
      <xdr:rowOff>0</xdr:rowOff>
    </xdr:from>
    <xdr:to>
      <xdr:col>10</xdr:col>
      <xdr:colOff>111369</xdr:colOff>
      <xdr:row>23</xdr:row>
      <xdr:rowOff>11724</xdr:rowOff>
    </xdr:to>
    <xdr:sp macro="" textlink="">
      <xdr:nvSpPr>
        <xdr:cNvPr id="63" name="ZoneTexte 62"/>
        <xdr:cNvSpPr txBox="1"/>
      </xdr:nvSpPr>
      <xdr:spPr>
        <a:xfrm>
          <a:off x="653796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u</a:t>
          </a:r>
        </a:p>
      </xdr:txBody>
    </xdr:sp>
    <xdr:clientData fLocksWithSheet="0"/>
  </xdr:twoCellAnchor>
  <xdr:twoCellAnchor>
    <xdr:from>
      <xdr:col>10</xdr:col>
      <xdr:colOff>0</xdr:colOff>
      <xdr:row>23</xdr:row>
      <xdr:rowOff>0</xdr:rowOff>
    </xdr:from>
    <xdr:to>
      <xdr:col>10</xdr:col>
      <xdr:colOff>111369</xdr:colOff>
      <xdr:row>24</xdr:row>
      <xdr:rowOff>11724</xdr:rowOff>
    </xdr:to>
    <xdr:sp macro="" textlink="">
      <xdr:nvSpPr>
        <xdr:cNvPr id="64" name="ZoneTexte 63"/>
        <xdr:cNvSpPr txBox="1"/>
      </xdr:nvSpPr>
      <xdr:spPr>
        <a:xfrm>
          <a:off x="653796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v</a:t>
          </a:r>
        </a:p>
      </xdr:txBody>
    </xdr:sp>
    <xdr:clientData fLocksWithSheet="0"/>
  </xdr:twoCellAnchor>
  <xdr:twoCellAnchor>
    <xdr:from>
      <xdr:col>10</xdr:col>
      <xdr:colOff>0</xdr:colOff>
      <xdr:row>24</xdr:row>
      <xdr:rowOff>0</xdr:rowOff>
    </xdr:from>
    <xdr:to>
      <xdr:col>10</xdr:col>
      <xdr:colOff>111369</xdr:colOff>
      <xdr:row>25</xdr:row>
      <xdr:rowOff>11724</xdr:rowOff>
    </xdr:to>
    <xdr:sp macro="" textlink="">
      <xdr:nvSpPr>
        <xdr:cNvPr id="65" name="ZoneTexte 64"/>
        <xdr:cNvSpPr txBox="1"/>
      </xdr:nvSpPr>
      <xdr:spPr>
        <a:xfrm>
          <a:off x="653796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w</a:t>
          </a:r>
        </a:p>
      </xdr:txBody>
    </xdr:sp>
    <xdr:clientData fLocksWithSheet="0"/>
  </xdr:twoCellAnchor>
  <xdr:twoCellAnchor>
    <xdr:from>
      <xdr:col>10</xdr:col>
      <xdr:colOff>0</xdr:colOff>
      <xdr:row>25</xdr:row>
      <xdr:rowOff>0</xdr:rowOff>
    </xdr:from>
    <xdr:to>
      <xdr:col>10</xdr:col>
      <xdr:colOff>111369</xdr:colOff>
      <xdr:row>26</xdr:row>
      <xdr:rowOff>11724</xdr:rowOff>
    </xdr:to>
    <xdr:sp macro="" textlink="">
      <xdr:nvSpPr>
        <xdr:cNvPr id="66" name="ZoneTexte 65"/>
        <xdr:cNvSpPr txBox="1"/>
      </xdr:nvSpPr>
      <xdr:spPr>
        <a:xfrm>
          <a:off x="653796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x</a:t>
          </a:r>
        </a:p>
      </xdr:txBody>
    </xdr:sp>
    <xdr:clientData fLocksWithSheet="0"/>
  </xdr:twoCellAnchor>
  <xdr:twoCellAnchor>
    <xdr:from>
      <xdr:col>10</xdr:col>
      <xdr:colOff>0</xdr:colOff>
      <xdr:row>26</xdr:row>
      <xdr:rowOff>0</xdr:rowOff>
    </xdr:from>
    <xdr:to>
      <xdr:col>10</xdr:col>
      <xdr:colOff>111369</xdr:colOff>
      <xdr:row>27</xdr:row>
      <xdr:rowOff>11724</xdr:rowOff>
    </xdr:to>
    <xdr:sp macro="" textlink="">
      <xdr:nvSpPr>
        <xdr:cNvPr id="67" name="ZoneTexte 66"/>
        <xdr:cNvSpPr txBox="1"/>
      </xdr:nvSpPr>
      <xdr:spPr>
        <a:xfrm>
          <a:off x="653796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y</a:t>
          </a:r>
        </a:p>
      </xdr:txBody>
    </xdr:sp>
    <xdr:clientData fLocksWithSheet="0"/>
  </xdr:twoCellAnchor>
  <xdr:twoCellAnchor>
    <xdr:from>
      <xdr:col>10</xdr:col>
      <xdr:colOff>0</xdr:colOff>
      <xdr:row>27</xdr:row>
      <xdr:rowOff>0</xdr:rowOff>
    </xdr:from>
    <xdr:to>
      <xdr:col>10</xdr:col>
      <xdr:colOff>111369</xdr:colOff>
      <xdr:row>28</xdr:row>
      <xdr:rowOff>11724</xdr:rowOff>
    </xdr:to>
    <xdr:sp macro="" textlink="">
      <xdr:nvSpPr>
        <xdr:cNvPr id="68" name="ZoneTexte 67"/>
        <xdr:cNvSpPr txBox="1"/>
      </xdr:nvSpPr>
      <xdr:spPr>
        <a:xfrm>
          <a:off x="653796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00C0"/>
              </a:solidFill>
            </a:rPr>
            <a:t>z</a:t>
          </a:r>
        </a:p>
      </xdr:txBody>
    </xdr:sp>
    <xdr:clientData fLocksWithSheet="0"/>
  </xdr:twoCellAnchor>
  <xdr:twoCellAnchor>
    <xdr:from>
      <xdr:col>11</xdr:col>
      <xdr:colOff>0</xdr:colOff>
      <xdr:row>4</xdr:row>
      <xdr:rowOff>0</xdr:rowOff>
    </xdr:from>
    <xdr:to>
      <xdr:col>11</xdr:col>
      <xdr:colOff>111369</xdr:colOff>
      <xdr:row>5</xdr:row>
      <xdr:rowOff>11724</xdr:rowOff>
    </xdr:to>
    <xdr:sp macro="" textlink="">
      <xdr:nvSpPr>
        <xdr:cNvPr id="69" name="ZoneTexte 68"/>
        <xdr:cNvSpPr txBox="1"/>
      </xdr:nvSpPr>
      <xdr:spPr>
        <a:xfrm>
          <a:off x="6934200" y="640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c</a:t>
          </a:r>
        </a:p>
      </xdr:txBody>
    </xdr:sp>
    <xdr:clientData fLocksWithSheet="0"/>
  </xdr:twoCellAnchor>
  <xdr:twoCellAnchor>
    <xdr:from>
      <xdr:col>11</xdr:col>
      <xdr:colOff>0</xdr:colOff>
      <xdr:row>5</xdr:row>
      <xdr:rowOff>0</xdr:rowOff>
    </xdr:from>
    <xdr:to>
      <xdr:col>11</xdr:col>
      <xdr:colOff>111369</xdr:colOff>
      <xdr:row>6</xdr:row>
      <xdr:rowOff>5862</xdr:rowOff>
    </xdr:to>
    <xdr:sp macro="" textlink="">
      <xdr:nvSpPr>
        <xdr:cNvPr id="70" name="ZoneTexte 69"/>
        <xdr:cNvSpPr txBox="1"/>
      </xdr:nvSpPr>
      <xdr:spPr>
        <a:xfrm>
          <a:off x="6934200" y="815340"/>
          <a:ext cx="111369" cy="1887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d</a:t>
          </a:r>
        </a:p>
      </xdr:txBody>
    </xdr:sp>
    <xdr:clientData fLocksWithSheet="0"/>
  </xdr:twoCellAnchor>
  <xdr:twoCellAnchor>
    <xdr:from>
      <xdr:col>11</xdr:col>
      <xdr:colOff>0</xdr:colOff>
      <xdr:row>6</xdr:row>
      <xdr:rowOff>0</xdr:rowOff>
    </xdr:from>
    <xdr:to>
      <xdr:col>11</xdr:col>
      <xdr:colOff>111369</xdr:colOff>
      <xdr:row>7</xdr:row>
      <xdr:rowOff>11724</xdr:rowOff>
    </xdr:to>
    <xdr:sp macro="" textlink="">
      <xdr:nvSpPr>
        <xdr:cNvPr id="71" name="ZoneTexte 70"/>
        <xdr:cNvSpPr txBox="1"/>
      </xdr:nvSpPr>
      <xdr:spPr>
        <a:xfrm>
          <a:off x="6934200" y="9982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e</a:t>
          </a:r>
        </a:p>
      </xdr:txBody>
    </xdr:sp>
    <xdr:clientData fLocksWithSheet="0"/>
  </xdr:twoCellAnchor>
  <xdr:twoCellAnchor>
    <xdr:from>
      <xdr:col>11</xdr:col>
      <xdr:colOff>0</xdr:colOff>
      <xdr:row>7</xdr:row>
      <xdr:rowOff>0</xdr:rowOff>
    </xdr:from>
    <xdr:to>
      <xdr:col>11</xdr:col>
      <xdr:colOff>111369</xdr:colOff>
      <xdr:row>8</xdr:row>
      <xdr:rowOff>11724</xdr:rowOff>
    </xdr:to>
    <xdr:sp macro="" textlink="">
      <xdr:nvSpPr>
        <xdr:cNvPr id="72" name="ZoneTexte 71"/>
        <xdr:cNvSpPr txBox="1"/>
      </xdr:nvSpPr>
      <xdr:spPr>
        <a:xfrm>
          <a:off x="6934200" y="11734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fb</a:t>
          </a:r>
        </a:p>
      </xdr:txBody>
    </xdr:sp>
    <xdr:clientData fLocksWithSheet="0"/>
  </xdr:twoCellAnchor>
  <xdr:twoCellAnchor>
    <xdr:from>
      <xdr:col>11</xdr:col>
      <xdr:colOff>0</xdr:colOff>
      <xdr:row>8</xdr:row>
      <xdr:rowOff>0</xdr:rowOff>
    </xdr:from>
    <xdr:to>
      <xdr:col>11</xdr:col>
      <xdr:colOff>111369</xdr:colOff>
      <xdr:row>9</xdr:row>
      <xdr:rowOff>11723</xdr:rowOff>
    </xdr:to>
    <xdr:sp macro="" textlink="">
      <xdr:nvSpPr>
        <xdr:cNvPr id="73" name="ZoneTexte 72"/>
        <xdr:cNvSpPr txBox="1"/>
      </xdr:nvSpPr>
      <xdr:spPr>
        <a:xfrm>
          <a:off x="6934200" y="134874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g</a:t>
          </a:r>
        </a:p>
      </xdr:txBody>
    </xdr:sp>
    <xdr:clientData fLocksWithSheet="0"/>
  </xdr:twoCellAnchor>
  <xdr:twoCellAnchor>
    <xdr:from>
      <xdr:col>11</xdr:col>
      <xdr:colOff>0</xdr:colOff>
      <xdr:row>3</xdr:row>
      <xdr:rowOff>0</xdr:rowOff>
    </xdr:from>
    <xdr:to>
      <xdr:col>11</xdr:col>
      <xdr:colOff>111369</xdr:colOff>
      <xdr:row>4</xdr:row>
      <xdr:rowOff>11724</xdr:rowOff>
    </xdr:to>
    <xdr:sp macro="" textlink="">
      <xdr:nvSpPr>
        <xdr:cNvPr id="74" name="ZoneTexte 73"/>
        <xdr:cNvSpPr txBox="1"/>
      </xdr:nvSpPr>
      <xdr:spPr>
        <a:xfrm>
          <a:off x="6934200" y="464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b</a:t>
          </a:r>
        </a:p>
      </xdr:txBody>
    </xdr:sp>
    <xdr:clientData fLocksWithSheet="0"/>
  </xdr:twoCellAnchor>
  <xdr:twoCellAnchor>
    <xdr:from>
      <xdr:col>11</xdr:col>
      <xdr:colOff>0</xdr:colOff>
      <xdr:row>2</xdr:row>
      <xdr:rowOff>0</xdr:rowOff>
    </xdr:from>
    <xdr:to>
      <xdr:col>11</xdr:col>
      <xdr:colOff>111369</xdr:colOff>
      <xdr:row>3</xdr:row>
      <xdr:rowOff>11724</xdr:rowOff>
    </xdr:to>
    <xdr:sp macro="" textlink="">
      <xdr:nvSpPr>
        <xdr:cNvPr id="75" name="ZoneTexte 74"/>
        <xdr:cNvSpPr txBox="1"/>
      </xdr:nvSpPr>
      <xdr:spPr>
        <a:xfrm>
          <a:off x="6934200" y="2895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a</a:t>
          </a:r>
        </a:p>
      </xdr:txBody>
    </xdr:sp>
    <xdr:clientData fLocksWithSheet="0"/>
  </xdr:twoCellAnchor>
  <xdr:twoCellAnchor>
    <xdr:from>
      <xdr:col>11</xdr:col>
      <xdr:colOff>0</xdr:colOff>
      <xdr:row>9</xdr:row>
      <xdr:rowOff>0</xdr:rowOff>
    </xdr:from>
    <xdr:to>
      <xdr:col>11</xdr:col>
      <xdr:colOff>111369</xdr:colOff>
      <xdr:row>10</xdr:row>
      <xdr:rowOff>11724</xdr:rowOff>
    </xdr:to>
    <xdr:sp macro="" textlink="">
      <xdr:nvSpPr>
        <xdr:cNvPr id="76" name="ZoneTexte 75"/>
        <xdr:cNvSpPr txBox="1"/>
      </xdr:nvSpPr>
      <xdr:spPr>
        <a:xfrm>
          <a:off x="6934200" y="15240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h</a:t>
          </a:r>
        </a:p>
      </xdr:txBody>
    </xdr:sp>
    <xdr:clientData fLocksWithSheet="0"/>
  </xdr:twoCellAnchor>
  <xdr:twoCellAnchor>
    <xdr:from>
      <xdr:col>11</xdr:col>
      <xdr:colOff>0</xdr:colOff>
      <xdr:row>10</xdr:row>
      <xdr:rowOff>0</xdr:rowOff>
    </xdr:from>
    <xdr:to>
      <xdr:col>11</xdr:col>
      <xdr:colOff>111369</xdr:colOff>
      <xdr:row>11</xdr:row>
      <xdr:rowOff>11724</xdr:rowOff>
    </xdr:to>
    <xdr:sp macro="" textlink="">
      <xdr:nvSpPr>
        <xdr:cNvPr id="77" name="ZoneTexte 76"/>
        <xdr:cNvSpPr txBox="1"/>
      </xdr:nvSpPr>
      <xdr:spPr>
        <a:xfrm>
          <a:off x="6934200" y="16992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i</a:t>
          </a:r>
        </a:p>
      </xdr:txBody>
    </xdr:sp>
    <xdr:clientData fLocksWithSheet="0"/>
  </xdr:twoCellAnchor>
  <xdr:twoCellAnchor>
    <xdr:from>
      <xdr:col>11</xdr:col>
      <xdr:colOff>0</xdr:colOff>
      <xdr:row>11</xdr:row>
      <xdr:rowOff>0</xdr:rowOff>
    </xdr:from>
    <xdr:to>
      <xdr:col>11</xdr:col>
      <xdr:colOff>111369</xdr:colOff>
      <xdr:row>12</xdr:row>
      <xdr:rowOff>11724</xdr:rowOff>
    </xdr:to>
    <xdr:sp macro="" textlink="">
      <xdr:nvSpPr>
        <xdr:cNvPr id="78" name="ZoneTexte 77"/>
        <xdr:cNvSpPr txBox="1"/>
      </xdr:nvSpPr>
      <xdr:spPr>
        <a:xfrm>
          <a:off x="6934200" y="18745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j</a:t>
          </a:r>
        </a:p>
      </xdr:txBody>
    </xdr:sp>
    <xdr:clientData fLocksWithSheet="0"/>
  </xdr:twoCellAnchor>
  <xdr:twoCellAnchor>
    <xdr:from>
      <xdr:col>11</xdr:col>
      <xdr:colOff>0</xdr:colOff>
      <xdr:row>12</xdr:row>
      <xdr:rowOff>0</xdr:rowOff>
    </xdr:from>
    <xdr:to>
      <xdr:col>11</xdr:col>
      <xdr:colOff>111369</xdr:colOff>
      <xdr:row>13</xdr:row>
      <xdr:rowOff>11724</xdr:rowOff>
    </xdr:to>
    <xdr:sp macro="" textlink="">
      <xdr:nvSpPr>
        <xdr:cNvPr id="79" name="ZoneTexte 78"/>
        <xdr:cNvSpPr txBox="1"/>
      </xdr:nvSpPr>
      <xdr:spPr>
        <a:xfrm>
          <a:off x="6934200" y="20497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k</a:t>
          </a:r>
        </a:p>
      </xdr:txBody>
    </xdr:sp>
    <xdr:clientData fLocksWithSheet="0"/>
  </xdr:twoCellAnchor>
  <xdr:twoCellAnchor>
    <xdr:from>
      <xdr:col>11</xdr:col>
      <xdr:colOff>0</xdr:colOff>
      <xdr:row>13</xdr:row>
      <xdr:rowOff>0</xdr:rowOff>
    </xdr:from>
    <xdr:to>
      <xdr:col>11</xdr:col>
      <xdr:colOff>111369</xdr:colOff>
      <xdr:row>14</xdr:row>
      <xdr:rowOff>11724</xdr:rowOff>
    </xdr:to>
    <xdr:sp macro="" textlink="">
      <xdr:nvSpPr>
        <xdr:cNvPr id="80" name="ZoneTexte 79"/>
        <xdr:cNvSpPr txBox="1"/>
      </xdr:nvSpPr>
      <xdr:spPr>
        <a:xfrm>
          <a:off x="6934200" y="22250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l</a:t>
          </a:r>
        </a:p>
      </xdr:txBody>
    </xdr:sp>
    <xdr:clientData fLocksWithSheet="0"/>
  </xdr:twoCellAnchor>
  <xdr:twoCellAnchor>
    <xdr:from>
      <xdr:col>11</xdr:col>
      <xdr:colOff>0</xdr:colOff>
      <xdr:row>14</xdr:row>
      <xdr:rowOff>0</xdr:rowOff>
    </xdr:from>
    <xdr:to>
      <xdr:col>11</xdr:col>
      <xdr:colOff>111369</xdr:colOff>
      <xdr:row>15</xdr:row>
      <xdr:rowOff>11724</xdr:rowOff>
    </xdr:to>
    <xdr:sp macro="" textlink="">
      <xdr:nvSpPr>
        <xdr:cNvPr id="81" name="ZoneTexte 80"/>
        <xdr:cNvSpPr txBox="1"/>
      </xdr:nvSpPr>
      <xdr:spPr>
        <a:xfrm>
          <a:off x="6934200" y="24003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m</a:t>
          </a:r>
        </a:p>
      </xdr:txBody>
    </xdr:sp>
    <xdr:clientData fLocksWithSheet="0"/>
  </xdr:twoCellAnchor>
  <xdr:twoCellAnchor>
    <xdr:from>
      <xdr:col>11</xdr:col>
      <xdr:colOff>0</xdr:colOff>
      <xdr:row>14</xdr:row>
      <xdr:rowOff>175846</xdr:rowOff>
    </xdr:from>
    <xdr:to>
      <xdr:col>11</xdr:col>
      <xdr:colOff>111369</xdr:colOff>
      <xdr:row>16</xdr:row>
      <xdr:rowOff>11723</xdr:rowOff>
    </xdr:to>
    <xdr:sp macro="" textlink="">
      <xdr:nvSpPr>
        <xdr:cNvPr id="82" name="ZoneTexte 81"/>
        <xdr:cNvSpPr txBox="1"/>
      </xdr:nvSpPr>
      <xdr:spPr>
        <a:xfrm>
          <a:off x="6934200" y="2576146"/>
          <a:ext cx="111369" cy="1863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n</a:t>
          </a:r>
        </a:p>
      </xdr:txBody>
    </xdr:sp>
    <xdr:clientData fLocksWithSheet="0"/>
  </xdr:twoCellAnchor>
  <xdr:twoCellAnchor>
    <xdr:from>
      <xdr:col>11</xdr:col>
      <xdr:colOff>0</xdr:colOff>
      <xdr:row>16</xdr:row>
      <xdr:rowOff>0</xdr:rowOff>
    </xdr:from>
    <xdr:to>
      <xdr:col>11</xdr:col>
      <xdr:colOff>111369</xdr:colOff>
      <xdr:row>17</xdr:row>
      <xdr:rowOff>11724</xdr:rowOff>
    </xdr:to>
    <xdr:sp macro="" textlink="">
      <xdr:nvSpPr>
        <xdr:cNvPr id="83" name="ZoneTexte 82"/>
        <xdr:cNvSpPr txBox="1"/>
      </xdr:nvSpPr>
      <xdr:spPr>
        <a:xfrm>
          <a:off x="6934200" y="27508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o</a:t>
          </a:r>
        </a:p>
      </xdr:txBody>
    </xdr:sp>
    <xdr:clientData fLocksWithSheet="0"/>
  </xdr:twoCellAnchor>
  <xdr:twoCellAnchor>
    <xdr:from>
      <xdr:col>11</xdr:col>
      <xdr:colOff>0</xdr:colOff>
      <xdr:row>17</xdr:row>
      <xdr:rowOff>0</xdr:rowOff>
    </xdr:from>
    <xdr:to>
      <xdr:col>11</xdr:col>
      <xdr:colOff>111369</xdr:colOff>
      <xdr:row>18</xdr:row>
      <xdr:rowOff>11724</xdr:rowOff>
    </xdr:to>
    <xdr:sp macro="" textlink="">
      <xdr:nvSpPr>
        <xdr:cNvPr id="84" name="ZoneTexte 83"/>
        <xdr:cNvSpPr txBox="1"/>
      </xdr:nvSpPr>
      <xdr:spPr>
        <a:xfrm>
          <a:off x="6934200" y="29260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p</a:t>
          </a:r>
        </a:p>
      </xdr:txBody>
    </xdr:sp>
    <xdr:clientData fLocksWithSheet="0"/>
  </xdr:twoCellAnchor>
  <xdr:twoCellAnchor>
    <xdr:from>
      <xdr:col>11</xdr:col>
      <xdr:colOff>0</xdr:colOff>
      <xdr:row>18</xdr:row>
      <xdr:rowOff>0</xdr:rowOff>
    </xdr:from>
    <xdr:to>
      <xdr:col>11</xdr:col>
      <xdr:colOff>111369</xdr:colOff>
      <xdr:row>19</xdr:row>
      <xdr:rowOff>11724</xdr:rowOff>
    </xdr:to>
    <xdr:sp macro="" textlink="">
      <xdr:nvSpPr>
        <xdr:cNvPr id="85" name="ZoneTexte 84"/>
        <xdr:cNvSpPr txBox="1"/>
      </xdr:nvSpPr>
      <xdr:spPr>
        <a:xfrm>
          <a:off x="6934200" y="31013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q</a:t>
          </a:r>
        </a:p>
      </xdr:txBody>
    </xdr:sp>
    <xdr:clientData fLocksWithSheet="0"/>
  </xdr:twoCellAnchor>
  <xdr:twoCellAnchor>
    <xdr:from>
      <xdr:col>11</xdr:col>
      <xdr:colOff>0</xdr:colOff>
      <xdr:row>19</xdr:row>
      <xdr:rowOff>0</xdr:rowOff>
    </xdr:from>
    <xdr:to>
      <xdr:col>11</xdr:col>
      <xdr:colOff>111369</xdr:colOff>
      <xdr:row>20</xdr:row>
      <xdr:rowOff>11724</xdr:rowOff>
    </xdr:to>
    <xdr:sp macro="" textlink="">
      <xdr:nvSpPr>
        <xdr:cNvPr id="86" name="ZoneTexte 85"/>
        <xdr:cNvSpPr txBox="1"/>
      </xdr:nvSpPr>
      <xdr:spPr>
        <a:xfrm>
          <a:off x="6934200" y="32766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r</a:t>
          </a:r>
        </a:p>
      </xdr:txBody>
    </xdr:sp>
    <xdr:clientData fLocksWithSheet="0"/>
  </xdr:twoCellAnchor>
  <xdr:twoCellAnchor>
    <xdr:from>
      <xdr:col>11</xdr:col>
      <xdr:colOff>0</xdr:colOff>
      <xdr:row>20</xdr:row>
      <xdr:rowOff>0</xdr:rowOff>
    </xdr:from>
    <xdr:to>
      <xdr:col>11</xdr:col>
      <xdr:colOff>111369</xdr:colOff>
      <xdr:row>21</xdr:row>
      <xdr:rowOff>11724</xdr:rowOff>
    </xdr:to>
    <xdr:sp macro="" textlink="">
      <xdr:nvSpPr>
        <xdr:cNvPr id="87" name="ZoneTexte 86"/>
        <xdr:cNvSpPr txBox="1"/>
      </xdr:nvSpPr>
      <xdr:spPr>
        <a:xfrm>
          <a:off x="6934200" y="34518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s</a:t>
          </a:r>
        </a:p>
      </xdr:txBody>
    </xdr:sp>
    <xdr:clientData fLocksWithSheet="0"/>
  </xdr:twoCellAnchor>
  <xdr:twoCellAnchor>
    <xdr:from>
      <xdr:col>11</xdr:col>
      <xdr:colOff>0</xdr:colOff>
      <xdr:row>21</xdr:row>
      <xdr:rowOff>0</xdr:rowOff>
    </xdr:from>
    <xdr:to>
      <xdr:col>11</xdr:col>
      <xdr:colOff>111369</xdr:colOff>
      <xdr:row>22</xdr:row>
      <xdr:rowOff>11723</xdr:rowOff>
    </xdr:to>
    <xdr:sp macro="" textlink="">
      <xdr:nvSpPr>
        <xdr:cNvPr id="88" name="ZoneTexte 87"/>
        <xdr:cNvSpPr txBox="1"/>
      </xdr:nvSpPr>
      <xdr:spPr>
        <a:xfrm>
          <a:off x="6934200" y="3627120"/>
          <a:ext cx="111369" cy="186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t</a:t>
          </a:r>
        </a:p>
      </xdr:txBody>
    </xdr:sp>
    <xdr:clientData fLocksWithSheet="0"/>
  </xdr:twoCellAnchor>
  <xdr:twoCellAnchor>
    <xdr:from>
      <xdr:col>11</xdr:col>
      <xdr:colOff>0</xdr:colOff>
      <xdr:row>22</xdr:row>
      <xdr:rowOff>0</xdr:rowOff>
    </xdr:from>
    <xdr:to>
      <xdr:col>11</xdr:col>
      <xdr:colOff>111369</xdr:colOff>
      <xdr:row>23</xdr:row>
      <xdr:rowOff>11724</xdr:rowOff>
    </xdr:to>
    <xdr:sp macro="" textlink="">
      <xdr:nvSpPr>
        <xdr:cNvPr id="89" name="ZoneTexte 88"/>
        <xdr:cNvSpPr txBox="1"/>
      </xdr:nvSpPr>
      <xdr:spPr>
        <a:xfrm>
          <a:off x="6934200" y="38023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u</a:t>
          </a:r>
        </a:p>
      </xdr:txBody>
    </xdr:sp>
    <xdr:clientData fLocksWithSheet="0"/>
  </xdr:twoCellAnchor>
  <xdr:twoCellAnchor>
    <xdr:from>
      <xdr:col>11</xdr:col>
      <xdr:colOff>0</xdr:colOff>
      <xdr:row>23</xdr:row>
      <xdr:rowOff>0</xdr:rowOff>
    </xdr:from>
    <xdr:to>
      <xdr:col>11</xdr:col>
      <xdr:colOff>111369</xdr:colOff>
      <xdr:row>24</xdr:row>
      <xdr:rowOff>11724</xdr:rowOff>
    </xdr:to>
    <xdr:sp macro="" textlink="">
      <xdr:nvSpPr>
        <xdr:cNvPr id="90" name="ZoneTexte 89"/>
        <xdr:cNvSpPr txBox="1"/>
      </xdr:nvSpPr>
      <xdr:spPr>
        <a:xfrm>
          <a:off x="6934200" y="397764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v</a:t>
          </a:r>
        </a:p>
      </xdr:txBody>
    </xdr:sp>
    <xdr:clientData fLocksWithSheet="0"/>
  </xdr:twoCellAnchor>
  <xdr:twoCellAnchor>
    <xdr:from>
      <xdr:col>11</xdr:col>
      <xdr:colOff>0</xdr:colOff>
      <xdr:row>24</xdr:row>
      <xdr:rowOff>0</xdr:rowOff>
    </xdr:from>
    <xdr:to>
      <xdr:col>11</xdr:col>
      <xdr:colOff>111369</xdr:colOff>
      <xdr:row>25</xdr:row>
      <xdr:rowOff>11724</xdr:rowOff>
    </xdr:to>
    <xdr:sp macro="" textlink="">
      <xdr:nvSpPr>
        <xdr:cNvPr id="91" name="ZoneTexte 90"/>
        <xdr:cNvSpPr txBox="1"/>
      </xdr:nvSpPr>
      <xdr:spPr>
        <a:xfrm>
          <a:off x="6934200" y="415290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w</a:t>
          </a:r>
        </a:p>
      </xdr:txBody>
    </xdr:sp>
    <xdr:clientData fLocksWithSheet="0"/>
  </xdr:twoCellAnchor>
  <xdr:twoCellAnchor>
    <xdr:from>
      <xdr:col>11</xdr:col>
      <xdr:colOff>0</xdr:colOff>
      <xdr:row>25</xdr:row>
      <xdr:rowOff>0</xdr:rowOff>
    </xdr:from>
    <xdr:to>
      <xdr:col>11</xdr:col>
      <xdr:colOff>111369</xdr:colOff>
      <xdr:row>26</xdr:row>
      <xdr:rowOff>11724</xdr:rowOff>
    </xdr:to>
    <xdr:sp macro="" textlink="">
      <xdr:nvSpPr>
        <xdr:cNvPr id="92" name="ZoneTexte 91"/>
        <xdr:cNvSpPr txBox="1"/>
      </xdr:nvSpPr>
      <xdr:spPr>
        <a:xfrm>
          <a:off x="6934200" y="432816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x</a:t>
          </a:r>
        </a:p>
      </xdr:txBody>
    </xdr:sp>
    <xdr:clientData fLocksWithSheet="0"/>
  </xdr:twoCellAnchor>
  <xdr:twoCellAnchor>
    <xdr:from>
      <xdr:col>11</xdr:col>
      <xdr:colOff>0</xdr:colOff>
      <xdr:row>26</xdr:row>
      <xdr:rowOff>0</xdr:rowOff>
    </xdr:from>
    <xdr:to>
      <xdr:col>11</xdr:col>
      <xdr:colOff>111369</xdr:colOff>
      <xdr:row>27</xdr:row>
      <xdr:rowOff>11724</xdr:rowOff>
    </xdr:to>
    <xdr:sp macro="" textlink="">
      <xdr:nvSpPr>
        <xdr:cNvPr id="93" name="ZoneTexte 92"/>
        <xdr:cNvSpPr txBox="1"/>
      </xdr:nvSpPr>
      <xdr:spPr>
        <a:xfrm>
          <a:off x="6934200" y="450342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y</a:t>
          </a:r>
        </a:p>
      </xdr:txBody>
    </xdr:sp>
    <xdr:clientData fLocksWithSheet="0"/>
  </xdr:twoCellAnchor>
  <xdr:twoCellAnchor>
    <xdr:from>
      <xdr:col>11</xdr:col>
      <xdr:colOff>0</xdr:colOff>
      <xdr:row>27</xdr:row>
      <xdr:rowOff>0</xdr:rowOff>
    </xdr:from>
    <xdr:to>
      <xdr:col>11</xdr:col>
      <xdr:colOff>111369</xdr:colOff>
      <xdr:row>28</xdr:row>
      <xdr:rowOff>11724</xdr:rowOff>
    </xdr:to>
    <xdr:sp macro="" textlink="">
      <xdr:nvSpPr>
        <xdr:cNvPr id="94" name="ZoneTexte 93"/>
        <xdr:cNvSpPr txBox="1"/>
      </xdr:nvSpPr>
      <xdr:spPr>
        <a:xfrm>
          <a:off x="6934200" y="4678680"/>
          <a:ext cx="111369" cy="1869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100">
              <a:solidFill>
                <a:srgbClr val="00B050"/>
              </a:solidFill>
            </a:rPr>
            <a:t>z</a:t>
          </a:r>
        </a:p>
      </xdr:txBody>
    </xdr:sp>
    <xdr:clientData fLocksWithSheet="0"/>
  </xdr:twoCellAnchor>
  <xdr:twoCellAnchor>
    <xdr:from>
      <xdr:col>10</xdr:col>
      <xdr:colOff>31066</xdr:colOff>
      <xdr:row>28</xdr:row>
      <xdr:rowOff>52754</xdr:rowOff>
    </xdr:from>
    <xdr:to>
      <xdr:col>10</xdr:col>
      <xdr:colOff>221566</xdr:colOff>
      <xdr:row>29</xdr:row>
      <xdr:rowOff>67994</xdr:rowOff>
    </xdr:to>
    <xdr:grpSp>
      <xdr:nvGrpSpPr>
        <xdr:cNvPr id="95" name="Group 1"/>
        <xdr:cNvGrpSpPr>
          <a:grpSpLocks/>
        </xdr:cNvGrpSpPr>
      </xdr:nvGrpSpPr>
      <xdr:grpSpPr bwMode="auto">
        <a:xfrm>
          <a:off x="6569026" y="4906694"/>
          <a:ext cx="190500" cy="190500"/>
          <a:chOff x="2230" y="12069"/>
          <a:chExt cx="297" cy="294"/>
        </a:xfrm>
      </xdr:grpSpPr>
      <xdr:cxnSp macro="">
        <xdr:nvCxnSpPr>
          <xdr:cNvPr id="96" name="AutoShape 2"/>
          <xdr:cNvCxnSpPr>
            <a:cxnSpLocks noChangeShapeType="1"/>
          </xdr:cNvCxnSpPr>
        </xdr:nvCxnSpPr>
        <xdr:spPr bwMode="auto">
          <a:xfrm flipV="1">
            <a:off x="2370" y="12074"/>
            <a:ext cx="1" cy="289"/>
          </a:xfrm>
          <a:prstGeom prst="straightConnector1">
            <a:avLst/>
          </a:prstGeom>
          <a:noFill/>
          <a:ln w="19050">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97" name="AutoShape 3"/>
          <xdr:cNvCxnSpPr>
            <a:cxnSpLocks noChangeShapeType="1"/>
          </xdr:cNvCxnSpPr>
        </xdr:nvCxnSpPr>
        <xdr:spPr bwMode="auto">
          <a:xfrm>
            <a:off x="2230" y="12069"/>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98" name="AutoShape 4"/>
          <xdr:cNvCxnSpPr>
            <a:cxnSpLocks noChangeShapeType="1"/>
          </xdr:cNvCxnSpPr>
        </xdr:nvCxnSpPr>
        <xdr:spPr bwMode="auto">
          <a:xfrm>
            <a:off x="2241" y="12363"/>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58615</xdr:colOff>
      <xdr:row>28</xdr:row>
      <xdr:rowOff>55685</xdr:rowOff>
    </xdr:from>
    <xdr:to>
      <xdr:col>9</xdr:col>
      <xdr:colOff>249115</xdr:colOff>
      <xdr:row>29</xdr:row>
      <xdr:rowOff>70924</xdr:rowOff>
    </xdr:to>
    <xdr:grpSp>
      <xdr:nvGrpSpPr>
        <xdr:cNvPr id="99" name="Group 5"/>
        <xdr:cNvGrpSpPr>
          <a:grpSpLocks/>
        </xdr:cNvGrpSpPr>
      </xdr:nvGrpSpPr>
      <xdr:grpSpPr bwMode="auto">
        <a:xfrm>
          <a:off x="6200335" y="4909625"/>
          <a:ext cx="190500" cy="190499"/>
          <a:chOff x="2230" y="12069"/>
          <a:chExt cx="297" cy="294"/>
        </a:xfrm>
      </xdr:grpSpPr>
      <xdr:cxnSp macro="">
        <xdr:nvCxnSpPr>
          <xdr:cNvPr id="100" name="AutoShape 6"/>
          <xdr:cNvCxnSpPr>
            <a:cxnSpLocks noChangeShapeType="1"/>
          </xdr:cNvCxnSpPr>
        </xdr:nvCxnSpPr>
        <xdr:spPr bwMode="auto">
          <a:xfrm flipV="1">
            <a:off x="2370" y="12074"/>
            <a:ext cx="1" cy="289"/>
          </a:xfrm>
          <a:prstGeom prst="straightConnector1">
            <a:avLst/>
          </a:prstGeom>
          <a:noFill/>
          <a:ln w="19050">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1" name="AutoShape 7"/>
          <xdr:cNvCxnSpPr>
            <a:cxnSpLocks noChangeShapeType="1"/>
          </xdr:cNvCxnSpPr>
        </xdr:nvCxnSpPr>
        <xdr:spPr bwMode="auto">
          <a:xfrm>
            <a:off x="2230" y="12069"/>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02" name="AutoShape 8"/>
          <xdr:cNvCxnSpPr>
            <a:cxnSpLocks noChangeShapeType="1"/>
          </xdr:cNvCxnSpPr>
        </xdr:nvCxnSpPr>
        <xdr:spPr bwMode="auto">
          <a:xfrm>
            <a:off x="2241" y="12363"/>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2344</xdr:colOff>
      <xdr:row>28</xdr:row>
      <xdr:rowOff>60375</xdr:rowOff>
    </xdr:from>
    <xdr:to>
      <xdr:col>11</xdr:col>
      <xdr:colOff>192844</xdr:colOff>
      <xdr:row>29</xdr:row>
      <xdr:rowOff>67994</xdr:rowOff>
    </xdr:to>
    <xdr:grpSp>
      <xdr:nvGrpSpPr>
        <xdr:cNvPr id="103" name="Group 9"/>
        <xdr:cNvGrpSpPr>
          <a:grpSpLocks/>
        </xdr:cNvGrpSpPr>
      </xdr:nvGrpSpPr>
      <xdr:grpSpPr bwMode="auto">
        <a:xfrm>
          <a:off x="6936544" y="4914315"/>
          <a:ext cx="190500" cy="182879"/>
          <a:chOff x="2230" y="12069"/>
          <a:chExt cx="297" cy="294"/>
        </a:xfrm>
      </xdr:grpSpPr>
      <xdr:cxnSp macro="">
        <xdr:nvCxnSpPr>
          <xdr:cNvPr id="104" name="AutoShape 10"/>
          <xdr:cNvCxnSpPr>
            <a:cxnSpLocks noChangeShapeType="1"/>
          </xdr:cNvCxnSpPr>
        </xdr:nvCxnSpPr>
        <xdr:spPr bwMode="auto">
          <a:xfrm flipV="1">
            <a:off x="2370" y="12074"/>
            <a:ext cx="1" cy="289"/>
          </a:xfrm>
          <a:prstGeom prst="straightConnector1">
            <a:avLst/>
          </a:prstGeom>
          <a:noFill/>
          <a:ln w="19050">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xnSp macro="">
        <xdr:nvCxnSpPr>
          <xdr:cNvPr id="105" name="AutoShape 11"/>
          <xdr:cNvCxnSpPr>
            <a:cxnSpLocks noChangeShapeType="1"/>
          </xdr:cNvCxnSpPr>
        </xdr:nvCxnSpPr>
        <xdr:spPr bwMode="auto">
          <a:xfrm>
            <a:off x="2230" y="12069"/>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06" name="AutoShape 12"/>
          <xdr:cNvCxnSpPr>
            <a:cxnSpLocks noChangeShapeType="1"/>
          </xdr:cNvCxnSpPr>
        </xdr:nvCxnSpPr>
        <xdr:spPr bwMode="auto">
          <a:xfrm>
            <a:off x="2241" y="12363"/>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30480</xdr:colOff>
      <xdr:row>30</xdr:row>
      <xdr:rowOff>15240</xdr:rowOff>
    </xdr:from>
    <xdr:to>
      <xdr:col>10</xdr:col>
      <xdr:colOff>213360</xdr:colOff>
      <xdr:row>31</xdr:row>
      <xdr:rowOff>129540</xdr:rowOff>
    </xdr:to>
    <xdr:grpSp>
      <xdr:nvGrpSpPr>
        <xdr:cNvPr id="107" name="Group 13"/>
        <xdr:cNvGrpSpPr>
          <a:grpSpLocks/>
        </xdr:cNvGrpSpPr>
      </xdr:nvGrpSpPr>
      <xdr:grpSpPr bwMode="auto">
        <a:xfrm>
          <a:off x="6568440" y="5219700"/>
          <a:ext cx="182880" cy="289560"/>
          <a:chOff x="1860" y="11974"/>
          <a:chExt cx="286" cy="452"/>
        </a:xfrm>
      </xdr:grpSpPr>
      <xdr:cxnSp macro="">
        <xdr:nvCxnSpPr>
          <xdr:cNvPr id="108" name="AutoShape 14"/>
          <xdr:cNvCxnSpPr>
            <a:cxnSpLocks noChangeShapeType="1"/>
          </xdr:cNvCxnSpPr>
        </xdr:nvCxnSpPr>
        <xdr:spPr bwMode="auto">
          <a:xfrm>
            <a:off x="1860" y="1214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09" name="AutoShape 15"/>
          <xdr:cNvCxnSpPr>
            <a:cxnSpLocks noChangeShapeType="1"/>
          </xdr:cNvCxnSpPr>
        </xdr:nvCxnSpPr>
        <xdr:spPr bwMode="auto">
          <a:xfrm>
            <a:off x="1860" y="12260"/>
            <a:ext cx="286" cy="0"/>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10" name="AutoShape 16"/>
          <xdr:cNvCxnSpPr>
            <a:cxnSpLocks noChangeShapeType="1"/>
          </xdr:cNvCxnSpPr>
        </xdr:nvCxnSpPr>
        <xdr:spPr bwMode="auto">
          <a:xfrm>
            <a:off x="2003" y="11974"/>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cxnSp macro="">
        <xdr:nvCxnSpPr>
          <xdr:cNvPr id="111" name="AutoShape 17"/>
          <xdr:cNvCxnSpPr>
            <a:cxnSpLocks noChangeShapeType="1"/>
          </xdr:cNvCxnSpPr>
        </xdr:nvCxnSpPr>
        <xdr:spPr bwMode="auto">
          <a:xfrm flipV="1">
            <a:off x="2003" y="12260"/>
            <a:ext cx="0" cy="166"/>
          </a:xfrm>
          <a:prstGeom prst="straightConnector1">
            <a:avLst/>
          </a:prstGeom>
          <a:noFill/>
          <a:ln w="19050">
            <a:solidFill>
              <a:srgbClr val="0000FF"/>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69166</xdr:colOff>
      <xdr:row>30</xdr:row>
      <xdr:rowOff>0</xdr:rowOff>
    </xdr:from>
    <xdr:to>
      <xdr:col>9</xdr:col>
      <xdr:colOff>252046</xdr:colOff>
      <xdr:row>31</xdr:row>
      <xdr:rowOff>114886</xdr:rowOff>
    </xdr:to>
    <xdr:grpSp>
      <xdr:nvGrpSpPr>
        <xdr:cNvPr id="112" name="Group 18"/>
        <xdr:cNvGrpSpPr>
          <a:grpSpLocks/>
        </xdr:cNvGrpSpPr>
      </xdr:nvGrpSpPr>
      <xdr:grpSpPr bwMode="auto">
        <a:xfrm>
          <a:off x="6210886" y="5204460"/>
          <a:ext cx="182880" cy="290146"/>
          <a:chOff x="1860" y="11974"/>
          <a:chExt cx="286" cy="452"/>
        </a:xfrm>
      </xdr:grpSpPr>
      <xdr:cxnSp macro="">
        <xdr:nvCxnSpPr>
          <xdr:cNvPr id="113" name="AutoShape 19"/>
          <xdr:cNvCxnSpPr>
            <a:cxnSpLocks noChangeShapeType="1"/>
          </xdr:cNvCxnSpPr>
        </xdr:nvCxnSpPr>
        <xdr:spPr bwMode="auto">
          <a:xfrm>
            <a:off x="1860" y="1214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4" name="AutoShape 20"/>
          <xdr:cNvCxnSpPr>
            <a:cxnSpLocks noChangeShapeType="1"/>
          </xdr:cNvCxnSpPr>
        </xdr:nvCxnSpPr>
        <xdr:spPr bwMode="auto">
          <a:xfrm>
            <a:off x="1860" y="12260"/>
            <a:ext cx="286" cy="0"/>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15" name="AutoShape 21"/>
          <xdr:cNvCxnSpPr>
            <a:cxnSpLocks noChangeShapeType="1"/>
          </xdr:cNvCxnSpPr>
        </xdr:nvCxnSpPr>
        <xdr:spPr bwMode="auto">
          <a:xfrm>
            <a:off x="2003" y="11974"/>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cxnSp macro="">
        <xdr:nvCxnSpPr>
          <xdr:cNvPr id="116" name="AutoShape 22"/>
          <xdr:cNvCxnSpPr>
            <a:cxnSpLocks noChangeShapeType="1"/>
          </xdr:cNvCxnSpPr>
        </xdr:nvCxnSpPr>
        <xdr:spPr bwMode="auto">
          <a:xfrm flipV="1">
            <a:off x="2003" y="12260"/>
            <a:ext cx="0" cy="166"/>
          </a:xfrm>
          <a:prstGeom prst="straightConnector1">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20515</xdr:colOff>
      <xdr:row>30</xdr:row>
      <xdr:rowOff>15826</xdr:rowOff>
    </xdr:from>
    <xdr:to>
      <xdr:col>11</xdr:col>
      <xdr:colOff>203395</xdr:colOff>
      <xdr:row>31</xdr:row>
      <xdr:rowOff>130712</xdr:rowOff>
    </xdr:to>
    <xdr:grpSp>
      <xdr:nvGrpSpPr>
        <xdr:cNvPr id="117" name="Group 23"/>
        <xdr:cNvGrpSpPr>
          <a:grpSpLocks/>
        </xdr:cNvGrpSpPr>
      </xdr:nvGrpSpPr>
      <xdr:grpSpPr bwMode="auto">
        <a:xfrm>
          <a:off x="6954715" y="5220286"/>
          <a:ext cx="182880" cy="290146"/>
          <a:chOff x="1860" y="11974"/>
          <a:chExt cx="286" cy="452"/>
        </a:xfrm>
      </xdr:grpSpPr>
      <xdr:cxnSp macro="">
        <xdr:nvCxnSpPr>
          <xdr:cNvPr id="118" name="AutoShape 24"/>
          <xdr:cNvCxnSpPr>
            <a:cxnSpLocks noChangeShapeType="1"/>
          </xdr:cNvCxnSpPr>
        </xdr:nvCxnSpPr>
        <xdr:spPr bwMode="auto">
          <a:xfrm>
            <a:off x="1860" y="1214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19" name="AutoShape 25"/>
          <xdr:cNvCxnSpPr>
            <a:cxnSpLocks noChangeShapeType="1"/>
          </xdr:cNvCxnSpPr>
        </xdr:nvCxnSpPr>
        <xdr:spPr bwMode="auto">
          <a:xfrm>
            <a:off x="1860" y="12260"/>
            <a:ext cx="286" cy="0"/>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20" name="AutoShape 26"/>
          <xdr:cNvCxnSpPr>
            <a:cxnSpLocks noChangeShapeType="1"/>
          </xdr:cNvCxnSpPr>
        </xdr:nvCxnSpPr>
        <xdr:spPr bwMode="auto">
          <a:xfrm>
            <a:off x="2003" y="11974"/>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cxnSp macro="">
        <xdr:nvCxnSpPr>
          <xdr:cNvPr id="121" name="AutoShape 27"/>
          <xdr:cNvCxnSpPr>
            <a:cxnSpLocks noChangeShapeType="1"/>
          </xdr:cNvCxnSpPr>
        </xdr:nvCxnSpPr>
        <xdr:spPr bwMode="auto">
          <a:xfrm flipV="1">
            <a:off x="2003" y="12260"/>
            <a:ext cx="0" cy="166"/>
          </a:xfrm>
          <a:prstGeom prst="straightConnector1">
            <a:avLst/>
          </a:prstGeom>
          <a:noFill/>
          <a:ln w="19050">
            <a:solidFill>
              <a:srgbClr val="00B050"/>
            </a:solidFill>
            <a:round/>
            <a:headEnd/>
            <a:tailEnd type="triangle" w="med" len="med"/>
          </a:ln>
          <a:extLst>
            <a:ext uri="{909E8E84-426E-40DD-AFC4-6F175D3DCCD1}">
              <a14:hiddenFill xmlns:a14="http://schemas.microsoft.com/office/drawing/2010/main">
                <a:noFill/>
              </a14:hiddenFill>
            </a:ext>
          </a:extLst>
        </xdr:spPr>
      </xdr:cxnSp>
    </xdr:grpSp>
    <xdr:clientData fLocksWithSheet="0"/>
  </xdr:twoCellAnchor>
  <xdr:twoCellAnchor>
    <xdr:from>
      <xdr:col>9</xdr:col>
      <xdr:colOff>76207</xdr:colOff>
      <xdr:row>32</xdr:row>
      <xdr:rowOff>0</xdr:rowOff>
    </xdr:from>
    <xdr:to>
      <xdr:col>9</xdr:col>
      <xdr:colOff>181715</xdr:colOff>
      <xdr:row>33</xdr:row>
      <xdr:rowOff>52754</xdr:rowOff>
    </xdr:to>
    <xdr:sp macro="" textlink="">
      <xdr:nvSpPr>
        <xdr:cNvPr id="122" name="ZoneTexte 121"/>
        <xdr:cNvSpPr txBox="1"/>
      </xdr:nvSpPr>
      <xdr:spPr>
        <a:xfrm>
          <a:off x="621792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FF0000"/>
              </a:solidFill>
            </a:rPr>
            <a:t>?</a:t>
          </a:r>
        </a:p>
      </xdr:txBody>
    </xdr:sp>
    <xdr:clientData fLocksWithSheet="0"/>
  </xdr:twoCellAnchor>
  <xdr:twoCellAnchor>
    <xdr:from>
      <xdr:col>10</xdr:col>
      <xdr:colOff>76207</xdr:colOff>
      <xdr:row>32</xdr:row>
      <xdr:rowOff>0</xdr:rowOff>
    </xdr:from>
    <xdr:to>
      <xdr:col>10</xdr:col>
      <xdr:colOff>181715</xdr:colOff>
      <xdr:row>33</xdr:row>
      <xdr:rowOff>52754</xdr:rowOff>
    </xdr:to>
    <xdr:sp macro="" textlink="">
      <xdr:nvSpPr>
        <xdr:cNvPr id="123" name="ZoneTexte 122"/>
        <xdr:cNvSpPr txBox="1"/>
      </xdr:nvSpPr>
      <xdr:spPr>
        <a:xfrm>
          <a:off x="661416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00C0"/>
              </a:solidFill>
            </a:rPr>
            <a:t>?</a:t>
          </a:r>
        </a:p>
      </xdr:txBody>
    </xdr:sp>
    <xdr:clientData fLocksWithSheet="0"/>
  </xdr:twoCellAnchor>
  <xdr:twoCellAnchor>
    <xdr:from>
      <xdr:col>11</xdr:col>
      <xdr:colOff>76207</xdr:colOff>
      <xdr:row>32</xdr:row>
      <xdr:rowOff>0</xdr:rowOff>
    </xdr:from>
    <xdr:to>
      <xdr:col>11</xdr:col>
      <xdr:colOff>181715</xdr:colOff>
      <xdr:row>33</xdr:row>
      <xdr:rowOff>52754</xdr:rowOff>
    </xdr:to>
    <xdr:sp macro="" textlink="">
      <xdr:nvSpPr>
        <xdr:cNvPr id="124" name="ZoneTexte 123"/>
        <xdr:cNvSpPr txBox="1"/>
      </xdr:nvSpPr>
      <xdr:spPr>
        <a:xfrm>
          <a:off x="7010407" y="5554980"/>
          <a:ext cx="105508" cy="228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r>
            <a:rPr lang="fr-FR" sz="1800" b="1">
              <a:solidFill>
                <a:srgbClr val="00B050"/>
              </a:solidFill>
            </a:rPr>
            <a:t>?</a:t>
          </a:r>
        </a:p>
      </xdr:txBody>
    </xdr:sp>
    <xdr:clientData fLocksWithSheet="0"/>
  </xdr:twoCellAnchor>
  <xdr:twoCellAnchor>
    <xdr:from>
      <xdr:col>11</xdr:col>
      <xdr:colOff>53339</xdr:colOff>
      <xdr:row>33</xdr:row>
      <xdr:rowOff>113129</xdr:rowOff>
    </xdr:from>
    <xdr:to>
      <xdr:col>11</xdr:col>
      <xdr:colOff>266699</xdr:colOff>
      <xdr:row>34</xdr:row>
      <xdr:rowOff>113129</xdr:rowOff>
    </xdr:to>
    <xdr:sp macro="" textlink="">
      <xdr:nvSpPr>
        <xdr:cNvPr id="125" name="Freeform 38"/>
        <xdr:cNvSpPr>
          <a:spLocks/>
        </xdr:cNvSpPr>
      </xdr:nvSpPr>
      <xdr:spPr bwMode="auto">
        <a:xfrm>
          <a:off x="6987539" y="5843369"/>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B050"/>
        </a:solidFill>
        <a:ln w="9525">
          <a:solidFill>
            <a:srgbClr val="00B050"/>
          </a:solidFill>
          <a:round/>
          <a:headEnd/>
          <a:tailEnd/>
        </a:ln>
      </xdr:spPr>
    </xdr:sp>
    <xdr:clientData fLocksWithSheet="0"/>
  </xdr:twoCellAnchor>
  <xdr:twoCellAnchor>
    <xdr:from>
      <xdr:col>9</xdr:col>
      <xdr:colOff>80304</xdr:colOff>
      <xdr:row>33</xdr:row>
      <xdr:rowOff>114299</xdr:rowOff>
    </xdr:from>
    <xdr:to>
      <xdr:col>9</xdr:col>
      <xdr:colOff>293664</xdr:colOff>
      <xdr:row>34</xdr:row>
      <xdr:rowOff>121920</xdr:rowOff>
    </xdr:to>
    <xdr:sp macro="" textlink="">
      <xdr:nvSpPr>
        <xdr:cNvPr id="126" name="Freeform 39"/>
        <xdr:cNvSpPr>
          <a:spLocks/>
        </xdr:cNvSpPr>
      </xdr:nvSpPr>
      <xdr:spPr bwMode="auto">
        <a:xfrm>
          <a:off x="6222024" y="5844539"/>
          <a:ext cx="213360" cy="182881"/>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FF0000"/>
        </a:solidFill>
        <a:ln w="9525">
          <a:solidFill>
            <a:srgbClr val="FF0000"/>
          </a:solidFill>
          <a:round/>
          <a:headEnd/>
          <a:tailEnd/>
        </a:ln>
      </xdr:spPr>
    </xdr:sp>
    <xdr:clientData fLocksWithSheet="0"/>
  </xdr:twoCellAnchor>
  <xdr:twoCellAnchor>
    <xdr:from>
      <xdr:col>10</xdr:col>
      <xdr:colOff>52754</xdr:colOff>
      <xdr:row>33</xdr:row>
      <xdr:rowOff>117231</xdr:rowOff>
    </xdr:from>
    <xdr:to>
      <xdr:col>10</xdr:col>
      <xdr:colOff>266114</xdr:colOff>
      <xdr:row>34</xdr:row>
      <xdr:rowOff>117231</xdr:rowOff>
    </xdr:to>
    <xdr:sp macro="" textlink="">
      <xdr:nvSpPr>
        <xdr:cNvPr id="127" name="Freeform 40"/>
        <xdr:cNvSpPr>
          <a:spLocks/>
        </xdr:cNvSpPr>
      </xdr:nvSpPr>
      <xdr:spPr bwMode="auto">
        <a:xfrm>
          <a:off x="6590714" y="5847471"/>
          <a:ext cx="213360" cy="175260"/>
        </a:xfrm>
        <a:custGeom>
          <a:avLst/>
          <a:gdLst>
            <a:gd name="T0" fmla="*/ 230 w 8792"/>
            <a:gd name="T1" fmla="*/ 4705 h 8172"/>
            <a:gd name="T2" fmla="*/ 320 w 8792"/>
            <a:gd name="T3" fmla="*/ 4735 h 8172"/>
            <a:gd name="T4" fmla="*/ 800 w 8792"/>
            <a:gd name="T5" fmla="*/ 5290 h 8172"/>
            <a:gd name="T6" fmla="*/ 1340 w 8792"/>
            <a:gd name="T7" fmla="*/ 6145 h 8172"/>
            <a:gd name="T8" fmla="*/ 2165 w 8792"/>
            <a:gd name="T9" fmla="*/ 7975 h 8172"/>
            <a:gd name="T10" fmla="*/ 3290 w 8792"/>
            <a:gd name="T11" fmla="*/ 7330 h 8172"/>
            <a:gd name="T12" fmla="*/ 4880 w 8792"/>
            <a:gd name="T13" fmla="*/ 4690 h 8172"/>
            <a:gd name="T14" fmla="*/ 6905 w 8792"/>
            <a:gd name="T15" fmla="*/ 2425 h 8172"/>
            <a:gd name="T16" fmla="*/ 8585 w 8792"/>
            <a:gd name="T17" fmla="*/ 655 h 8172"/>
            <a:gd name="T18" fmla="*/ 8150 w 8792"/>
            <a:gd name="T19" fmla="*/ 160 h 8172"/>
            <a:gd name="T20" fmla="*/ 6200 w 8792"/>
            <a:gd name="T21" fmla="*/ 1615 h 8172"/>
            <a:gd name="T22" fmla="*/ 3995 w 8792"/>
            <a:gd name="T23" fmla="*/ 3940 h 8172"/>
            <a:gd name="T24" fmla="*/ 2795 w 8792"/>
            <a:gd name="T25" fmla="*/ 5530 h 8172"/>
            <a:gd name="T26" fmla="*/ 2435 w 8792"/>
            <a:gd name="T27" fmla="*/ 5215 h 8172"/>
            <a:gd name="T28" fmla="*/ 1625 w 8792"/>
            <a:gd name="T29" fmla="*/ 4180 h 8172"/>
            <a:gd name="T30" fmla="*/ 230 w 8792"/>
            <a:gd name="T31" fmla="*/ 4705 h 81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Lst>
          <a:rect l="0" t="0" r="r" b="b"/>
          <a:pathLst>
            <a:path w="8792" h="8172">
              <a:moveTo>
                <a:pt x="230" y="4705"/>
              </a:moveTo>
              <a:cubicBezTo>
                <a:pt x="0" y="4782"/>
                <a:pt x="225" y="4638"/>
                <a:pt x="320" y="4735"/>
              </a:cubicBezTo>
              <a:cubicBezTo>
                <a:pt x="415" y="4832"/>
                <a:pt x="630" y="5055"/>
                <a:pt x="800" y="5290"/>
              </a:cubicBezTo>
              <a:cubicBezTo>
                <a:pt x="970" y="5525"/>
                <a:pt x="1113" y="5698"/>
                <a:pt x="1340" y="6145"/>
              </a:cubicBezTo>
              <a:cubicBezTo>
                <a:pt x="1567" y="6592"/>
                <a:pt x="1840" y="7778"/>
                <a:pt x="2165" y="7975"/>
              </a:cubicBezTo>
              <a:cubicBezTo>
                <a:pt x="2490" y="8172"/>
                <a:pt x="2838" y="7877"/>
                <a:pt x="3290" y="7330"/>
              </a:cubicBezTo>
              <a:cubicBezTo>
                <a:pt x="3742" y="6783"/>
                <a:pt x="4277" y="5508"/>
                <a:pt x="4880" y="4690"/>
              </a:cubicBezTo>
              <a:cubicBezTo>
                <a:pt x="5483" y="3872"/>
                <a:pt x="6288" y="3097"/>
                <a:pt x="6905" y="2425"/>
              </a:cubicBezTo>
              <a:cubicBezTo>
                <a:pt x="7522" y="1753"/>
                <a:pt x="8378" y="1032"/>
                <a:pt x="8585" y="655"/>
              </a:cubicBezTo>
              <a:cubicBezTo>
                <a:pt x="8792" y="278"/>
                <a:pt x="8547" y="0"/>
                <a:pt x="8150" y="160"/>
              </a:cubicBezTo>
              <a:cubicBezTo>
                <a:pt x="7753" y="320"/>
                <a:pt x="6892" y="985"/>
                <a:pt x="6200" y="1615"/>
              </a:cubicBezTo>
              <a:cubicBezTo>
                <a:pt x="5508" y="2245"/>
                <a:pt x="4563" y="3288"/>
                <a:pt x="3995" y="3940"/>
              </a:cubicBezTo>
              <a:cubicBezTo>
                <a:pt x="3427" y="4592"/>
                <a:pt x="3055" y="5318"/>
                <a:pt x="2795" y="5530"/>
              </a:cubicBezTo>
              <a:cubicBezTo>
                <a:pt x="2535" y="5742"/>
                <a:pt x="2630" y="5440"/>
                <a:pt x="2435" y="5215"/>
              </a:cubicBezTo>
              <a:cubicBezTo>
                <a:pt x="2240" y="4990"/>
                <a:pt x="1992" y="4265"/>
                <a:pt x="1625" y="4180"/>
              </a:cubicBezTo>
              <a:cubicBezTo>
                <a:pt x="1258" y="4095"/>
                <a:pt x="521" y="4596"/>
                <a:pt x="230" y="4705"/>
              </a:cubicBezTo>
              <a:close/>
            </a:path>
          </a:pathLst>
        </a:custGeom>
        <a:solidFill>
          <a:srgbClr val="0000FF"/>
        </a:solidFill>
        <a:ln w="9525">
          <a:solidFill>
            <a:srgbClr val="0000FF"/>
          </a:solidFill>
          <a:round/>
          <a:headEnd/>
          <a:tailEnd/>
        </a:ln>
      </xdr:spPr>
    </xdr:sp>
    <xdr:clientData fLocksWithSheet="0"/>
  </xdr:twoCellAnchor>
  <xdr:twoCellAnchor>
    <xdr:from>
      <xdr:col>11</xdr:col>
      <xdr:colOff>63138</xdr:colOff>
      <xdr:row>35</xdr:row>
      <xdr:rowOff>94705</xdr:rowOff>
    </xdr:from>
    <xdr:to>
      <xdr:col>11</xdr:col>
      <xdr:colOff>291738</xdr:colOff>
      <xdr:row>35</xdr:row>
      <xdr:rowOff>94705</xdr:rowOff>
    </xdr:to>
    <xdr:cxnSp macro="">
      <xdr:nvCxnSpPr>
        <xdr:cNvPr id="128" name="AutoShape 41"/>
        <xdr:cNvCxnSpPr>
          <a:cxnSpLocks noChangeShapeType="1"/>
        </xdr:cNvCxnSpPr>
      </xdr:nvCxnSpPr>
      <xdr:spPr bwMode="auto">
        <a:xfrm flipH="1">
          <a:off x="6997338" y="6175465"/>
          <a:ext cx="228600" cy="0"/>
        </a:xfrm>
        <a:prstGeom prst="straightConnector1">
          <a:avLst/>
        </a:prstGeom>
        <a:noFill/>
        <a:ln w="28575">
          <a:solidFill>
            <a:srgbClr val="00B05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89263</xdr:colOff>
      <xdr:row>35</xdr:row>
      <xdr:rowOff>102326</xdr:rowOff>
    </xdr:from>
    <xdr:to>
      <xdr:col>9</xdr:col>
      <xdr:colOff>317863</xdr:colOff>
      <xdr:row>35</xdr:row>
      <xdr:rowOff>102326</xdr:rowOff>
    </xdr:to>
    <xdr:cxnSp macro="">
      <xdr:nvCxnSpPr>
        <xdr:cNvPr id="129" name="AutoShape 42"/>
        <xdr:cNvCxnSpPr>
          <a:cxnSpLocks noChangeShapeType="1"/>
        </xdr:cNvCxnSpPr>
      </xdr:nvCxnSpPr>
      <xdr:spPr bwMode="auto">
        <a:xfrm flipH="1">
          <a:off x="6230983" y="6183086"/>
          <a:ext cx="228600" cy="0"/>
        </a:xfrm>
        <a:prstGeom prst="straightConnector1">
          <a:avLst/>
        </a:prstGeom>
        <a:noFill/>
        <a:ln w="28575">
          <a:solidFill>
            <a:srgbClr val="FF0000"/>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75111</xdr:colOff>
      <xdr:row>35</xdr:row>
      <xdr:rowOff>85998</xdr:rowOff>
    </xdr:from>
    <xdr:to>
      <xdr:col>10</xdr:col>
      <xdr:colOff>303711</xdr:colOff>
      <xdr:row>35</xdr:row>
      <xdr:rowOff>85998</xdr:rowOff>
    </xdr:to>
    <xdr:cxnSp macro="">
      <xdr:nvCxnSpPr>
        <xdr:cNvPr id="130" name="AutoShape 43"/>
        <xdr:cNvCxnSpPr>
          <a:cxnSpLocks noChangeShapeType="1"/>
        </xdr:cNvCxnSpPr>
      </xdr:nvCxnSpPr>
      <xdr:spPr bwMode="auto">
        <a:xfrm flipH="1">
          <a:off x="6613071" y="6166758"/>
          <a:ext cx="228600" cy="0"/>
        </a:xfrm>
        <a:prstGeom prst="straightConnector1">
          <a:avLst/>
        </a:prstGeom>
        <a:noFill/>
        <a:ln w="28575">
          <a:solidFill>
            <a:srgbClr val="0000FF"/>
          </a:solidFill>
          <a:round/>
          <a:headEnd type="triangle" w="med" len="me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117565</xdr:colOff>
      <xdr:row>37</xdr:row>
      <xdr:rowOff>92534</xdr:rowOff>
    </xdr:from>
    <xdr:to>
      <xdr:col>11</xdr:col>
      <xdr:colOff>257991</xdr:colOff>
      <xdr:row>38</xdr:row>
      <xdr:rowOff>62055</xdr:rowOff>
    </xdr:to>
    <xdr:grpSp>
      <xdr:nvGrpSpPr>
        <xdr:cNvPr id="131" name="Group 44"/>
        <xdr:cNvGrpSpPr>
          <a:grpSpLocks/>
        </xdr:cNvGrpSpPr>
      </xdr:nvGrpSpPr>
      <xdr:grpSpPr bwMode="auto">
        <a:xfrm>
          <a:off x="7051765" y="6523814"/>
          <a:ext cx="140426" cy="144781"/>
          <a:chOff x="547" y="1763"/>
          <a:chExt cx="225" cy="225"/>
        </a:xfrm>
      </xdr:grpSpPr>
      <xdr:sp macro="" textlink="">
        <xdr:nvSpPr>
          <xdr:cNvPr id="132" name="Oval 45"/>
          <xdr:cNvSpPr>
            <a:spLocks noChangeArrowheads="1"/>
          </xdr:cNvSpPr>
        </xdr:nvSpPr>
        <xdr:spPr bwMode="auto">
          <a:xfrm>
            <a:off x="547" y="1763"/>
            <a:ext cx="225" cy="225"/>
          </a:xfrm>
          <a:prstGeom prst="ellipse">
            <a:avLst/>
          </a:prstGeom>
          <a:solidFill>
            <a:srgbClr val="FFFFFF"/>
          </a:solidFill>
          <a:ln w="19050">
            <a:solidFill>
              <a:srgbClr val="00B050"/>
            </a:solidFill>
            <a:round/>
            <a:headEnd/>
            <a:tailEnd/>
          </a:ln>
        </xdr:spPr>
      </xdr:sp>
      <xdr:cxnSp macro="">
        <xdr:nvCxnSpPr>
          <xdr:cNvPr id="133" name="AutoShape 46"/>
          <xdr:cNvCxnSpPr>
            <a:cxnSpLocks noChangeShapeType="1"/>
          </xdr:cNvCxnSpPr>
        </xdr:nvCxnSpPr>
        <xdr:spPr bwMode="auto">
          <a:xfrm flipV="1">
            <a:off x="592" y="1873"/>
            <a:ext cx="135"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121919</xdr:colOff>
      <xdr:row>37</xdr:row>
      <xdr:rowOff>87092</xdr:rowOff>
    </xdr:from>
    <xdr:to>
      <xdr:col>9</xdr:col>
      <xdr:colOff>262345</xdr:colOff>
      <xdr:row>38</xdr:row>
      <xdr:rowOff>56612</xdr:rowOff>
    </xdr:to>
    <xdr:grpSp>
      <xdr:nvGrpSpPr>
        <xdr:cNvPr id="134" name="Group 47"/>
        <xdr:cNvGrpSpPr>
          <a:grpSpLocks/>
        </xdr:cNvGrpSpPr>
      </xdr:nvGrpSpPr>
      <xdr:grpSpPr bwMode="auto">
        <a:xfrm>
          <a:off x="6263639" y="6518372"/>
          <a:ext cx="140426" cy="144780"/>
          <a:chOff x="547" y="1763"/>
          <a:chExt cx="225" cy="225"/>
        </a:xfrm>
      </xdr:grpSpPr>
      <xdr:sp macro="" textlink="">
        <xdr:nvSpPr>
          <xdr:cNvPr id="135" name="Oval 48"/>
          <xdr:cNvSpPr>
            <a:spLocks noChangeArrowheads="1"/>
          </xdr:cNvSpPr>
        </xdr:nvSpPr>
        <xdr:spPr bwMode="auto">
          <a:xfrm>
            <a:off x="547" y="1763"/>
            <a:ext cx="225" cy="225"/>
          </a:xfrm>
          <a:prstGeom prst="ellipse">
            <a:avLst/>
          </a:prstGeom>
          <a:solidFill>
            <a:srgbClr val="FFFFFF"/>
          </a:solidFill>
          <a:ln w="19050">
            <a:solidFill>
              <a:srgbClr val="FF0000"/>
            </a:solidFill>
            <a:round/>
            <a:headEnd/>
            <a:tailEnd/>
          </a:ln>
        </xdr:spPr>
      </xdr:sp>
      <xdr:cxnSp macro="">
        <xdr:nvCxnSpPr>
          <xdr:cNvPr id="136" name="AutoShape 49"/>
          <xdr:cNvCxnSpPr>
            <a:cxnSpLocks noChangeShapeType="1"/>
          </xdr:cNvCxnSpPr>
        </xdr:nvCxnSpPr>
        <xdr:spPr bwMode="auto">
          <a:xfrm flipV="1">
            <a:off x="592" y="1873"/>
            <a:ext cx="135"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129539</xdr:colOff>
      <xdr:row>37</xdr:row>
      <xdr:rowOff>81648</xdr:rowOff>
    </xdr:from>
    <xdr:to>
      <xdr:col>10</xdr:col>
      <xdr:colOff>269965</xdr:colOff>
      <xdr:row>38</xdr:row>
      <xdr:rowOff>43548</xdr:rowOff>
    </xdr:to>
    <xdr:grpSp>
      <xdr:nvGrpSpPr>
        <xdr:cNvPr id="137" name="Group 50"/>
        <xdr:cNvGrpSpPr>
          <a:grpSpLocks/>
        </xdr:cNvGrpSpPr>
      </xdr:nvGrpSpPr>
      <xdr:grpSpPr bwMode="auto">
        <a:xfrm>
          <a:off x="6667499" y="6512928"/>
          <a:ext cx="140426" cy="137160"/>
          <a:chOff x="547" y="1763"/>
          <a:chExt cx="225" cy="225"/>
        </a:xfrm>
      </xdr:grpSpPr>
      <xdr:sp macro="" textlink="">
        <xdr:nvSpPr>
          <xdr:cNvPr id="138" name="Oval 51"/>
          <xdr:cNvSpPr>
            <a:spLocks noChangeArrowheads="1"/>
          </xdr:cNvSpPr>
        </xdr:nvSpPr>
        <xdr:spPr bwMode="auto">
          <a:xfrm>
            <a:off x="547" y="1763"/>
            <a:ext cx="225" cy="225"/>
          </a:xfrm>
          <a:prstGeom prst="ellipse">
            <a:avLst/>
          </a:prstGeom>
          <a:solidFill>
            <a:srgbClr val="FFFFFF"/>
          </a:solidFill>
          <a:ln w="19050">
            <a:solidFill>
              <a:srgbClr val="0000FF"/>
            </a:solidFill>
            <a:round/>
            <a:headEnd/>
            <a:tailEnd/>
          </a:ln>
        </xdr:spPr>
      </xdr:sp>
      <xdr:cxnSp macro="">
        <xdr:nvCxnSpPr>
          <xdr:cNvPr id="139" name="AutoShape 52"/>
          <xdr:cNvCxnSpPr>
            <a:cxnSpLocks noChangeShapeType="1"/>
          </xdr:cNvCxnSpPr>
        </xdr:nvCxnSpPr>
        <xdr:spPr bwMode="auto">
          <a:xfrm flipV="1">
            <a:off x="592" y="1873"/>
            <a:ext cx="135"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11</xdr:col>
      <xdr:colOff>124098</xdr:colOff>
      <xdr:row>39</xdr:row>
      <xdr:rowOff>16335</xdr:rowOff>
    </xdr:from>
    <xdr:to>
      <xdr:col>11</xdr:col>
      <xdr:colOff>268878</xdr:colOff>
      <xdr:row>39</xdr:row>
      <xdr:rowOff>160026</xdr:rowOff>
    </xdr:to>
    <xdr:grpSp>
      <xdr:nvGrpSpPr>
        <xdr:cNvPr id="140" name="Group 53"/>
        <xdr:cNvGrpSpPr>
          <a:grpSpLocks/>
        </xdr:cNvGrpSpPr>
      </xdr:nvGrpSpPr>
      <xdr:grpSpPr bwMode="auto">
        <a:xfrm>
          <a:off x="7058298" y="6798135"/>
          <a:ext cx="144780" cy="143691"/>
          <a:chOff x="554" y="1388"/>
          <a:chExt cx="225" cy="225"/>
        </a:xfrm>
      </xdr:grpSpPr>
      <xdr:sp macro="" textlink="">
        <xdr:nvSpPr>
          <xdr:cNvPr id="141" name="Oval 54"/>
          <xdr:cNvSpPr>
            <a:spLocks noChangeArrowheads="1"/>
          </xdr:cNvSpPr>
        </xdr:nvSpPr>
        <xdr:spPr bwMode="auto">
          <a:xfrm>
            <a:off x="554" y="1388"/>
            <a:ext cx="225" cy="225"/>
          </a:xfrm>
          <a:prstGeom prst="ellipse">
            <a:avLst/>
          </a:prstGeom>
          <a:solidFill>
            <a:srgbClr val="FFFFFF"/>
          </a:solidFill>
          <a:ln w="19050">
            <a:solidFill>
              <a:srgbClr val="00B050"/>
            </a:solidFill>
            <a:round/>
            <a:headEnd/>
            <a:tailEnd/>
          </a:ln>
        </xdr:spPr>
      </xdr:sp>
      <xdr:cxnSp macro="">
        <xdr:nvCxnSpPr>
          <xdr:cNvPr id="142" name="AutoShape 55"/>
          <xdr:cNvCxnSpPr>
            <a:cxnSpLocks noChangeShapeType="1"/>
          </xdr:cNvCxnSpPr>
        </xdr:nvCxnSpPr>
        <xdr:spPr bwMode="auto">
          <a:xfrm flipV="1">
            <a:off x="590" y="1504"/>
            <a:ext cx="147" cy="2"/>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cxnSp macro="">
        <xdr:nvCxnSpPr>
          <xdr:cNvPr id="143" name="AutoShape 56"/>
          <xdr:cNvCxnSpPr>
            <a:cxnSpLocks noChangeShapeType="1"/>
          </xdr:cNvCxnSpPr>
        </xdr:nvCxnSpPr>
        <xdr:spPr bwMode="auto">
          <a:xfrm flipH="1">
            <a:off x="664" y="1420"/>
            <a:ext cx="1" cy="159"/>
          </a:xfrm>
          <a:prstGeom prst="straightConnector1">
            <a:avLst/>
          </a:prstGeom>
          <a:noFill/>
          <a:ln w="19050">
            <a:solidFill>
              <a:srgbClr val="00B05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9</xdr:col>
      <xdr:colOff>150223</xdr:colOff>
      <xdr:row>39</xdr:row>
      <xdr:rowOff>7</xdr:rowOff>
    </xdr:from>
    <xdr:to>
      <xdr:col>9</xdr:col>
      <xdr:colOff>287383</xdr:colOff>
      <xdr:row>39</xdr:row>
      <xdr:rowOff>143698</xdr:rowOff>
    </xdr:to>
    <xdr:grpSp>
      <xdr:nvGrpSpPr>
        <xdr:cNvPr id="144" name="Group 57"/>
        <xdr:cNvGrpSpPr>
          <a:grpSpLocks/>
        </xdr:cNvGrpSpPr>
      </xdr:nvGrpSpPr>
      <xdr:grpSpPr bwMode="auto">
        <a:xfrm>
          <a:off x="6291943" y="6781807"/>
          <a:ext cx="137160" cy="143691"/>
          <a:chOff x="554" y="1388"/>
          <a:chExt cx="225" cy="225"/>
        </a:xfrm>
      </xdr:grpSpPr>
      <xdr:sp macro="" textlink="">
        <xdr:nvSpPr>
          <xdr:cNvPr id="145" name="Oval 58"/>
          <xdr:cNvSpPr>
            <a:spLocks noChangeArrowheads="1"/>
          </xdr:cNvSpPr>
        </xdr:nvSpPr>
        <xdr:spPr bwMode="auto">
          <a:xfrm>
            <a:off x="554" y="1388"/>
            <a:ext cx="225" cy="225"/>
          </a:xfrm>
          <a:prstGeom prst="ellipse">
            <a:avLst/>
          </a:prstGeom>
          <a:solidFill>
            <a:srgbClr val="FFFFFF"/>
          </a:solidFill>
          <a:ln w="19050">
            <a:solidFill>
              <a:srgbClr val="FF0000"/>
            </a:solidFill>
            <a:round/>
            <a:headEnd/>
            <a:tailEnd/>
          </a:ln>
        </xdr:spPr>
      </xdr:sp>
      <xdr:cxnSp macro="">
        <xdr:nvCxnSpPr>
          <xdr:cNvPr id="146" name="AutoShape 59"/>
          <xdr:cNvCxnSpPr>
            <a:cxnSpLocks noChangeShapeType="1"/>
          </xdr:cNvCxnSpPr>
        </xdr:nvCxnSpPr>
        <xdr:spPr bwMode="auto">
          <a:xfrm flipV="1">
            <a:off x="590" y="1504"/>
            <a:ext cx="147" cy="2"/>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cxnSp macro="">
        <xdr:nvCxnSpPr>
          <xdr:cNvPr id="147" name="AutoShape 60"/>
          <xdr:cNvCxnSpPr>
            <a:cxnSpLocks noChangeShapeType="1"/>
          </xdr:cNvCxnSpPr>
        </xdr:nvCxnSpPr>
        <xdr:spPr bwMode="auto">
          <a:xfrm flipH="1">
            <a:off x="664" y="1420"/>
            <a:ext cx="1" cy="159"/>
          </a:xfrm>
          <a:prstGeom prst="straightConnector1">
            <a:avLst/>
          </a:prstGeom>
          <a:noFill/>
          <a:ln w="19050">
            <a:solidFill>
              <a:srgbClr val="FF0000"/>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114299</xdr:colOff>
      <xdr:row>38</xdr:row>
      <xdr:rowOff>146964</xdr:rowOff>
    </xdr:from>
    <xdr:to>
      <xdr:col>10</xdr:col>
      <xdr:colOff>259079</xdr:colOff>
      <xdr:row>39</xdr:row>
      <xdr:rowOff>108864</xdr:rowOff>
    </xdr:to>
    <xdr:grpSp>
      <xdr:nvGrpSpPr>
        <xdr:cNvPr id="148" name="Group 61"/>
        <xdr:cNvGrpSpPr>
          <a:grpSpLocks/>
        </xdr:cNvGrpSpPr>
      </xdr:nvGrpSpPr>
      <xdr:grpSpPr bwMode="auto">
        <a:xfrm>
          <a:off x="6652259" y="6753504"/>
          <a:ext cx="144780" cy="137160"/>
          <a:chOff x="554" y="1388"/>
          <a:chExt cx="225" cy="225"/>
        </a:xfrm>
      </xdr:grpSpPr>
      <xdr:sp macro="" textlink="">
        <xdr:nvSpPr>
          <xdr:cNvPr id="149" name="Oval 62"/>
          <xdr:cNvSpPr>
            <a:spLocks noChangeArrowheads="1"/>
          </xdr:cNvSpPr>
        </xdr:nvSpPr>
        <xdr:spPr bwMode="auto">
          <a:xfrm>
            <a:off x="554" y="1388"/>
            <a:ext cx="225" cy="225"/>
          </a:xfrm>
          <a:prstGeom prst="ellipse">
            <a:avLst/>
          </a:prstGeom>
          <a:solidFill>
            <a:srgbClr val="FFFFFF"/>
          </a:solidFill>
          <a:ln w="19050">
            <a:solidFill>
              <a:srgbClr val="0000FF"/>
            </a:solidFill>
            <a:round/>
            <a:headEnd/>
            <a:tailEnd/>
          </a:ln>
        </xdr:spPr>
      </xdr:sp>
      <xdr:cxnSp macro="">
        <xdr:nvCxnSpPr>
          <xdr:cNvPr id="150" name="AutoShape 63"/>
          <xdr:cNvCxnSpPr>
            <a:cxnSpLocks noChangeShapeType="1"/>
          </xdr:cNvCxnSpPr>
        </xdr:nvCxnSpPr>
        <xdr:spPr bwMode="auto">
          <a:xfrm flipV="1">
            <a:off x="590" y="1504"/>
            <a:ext cx="147" cy="2"/>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cxnSp macro="">
        <xdr:nvCxnSpPr>
          <xdr:cNvPr id="151" name="AutoShape 64"/>
          <xdr:cNvCxnSpPr>
            <a:cxnSpLocks noChangeShapeType="1"/>
          </xdr:cNvCxnSpPr>
        </xdr:nvCxnSpPr>
        <xdr:spPr bwMode="auto">
          <a:xfrm flipH="1">
            <a:off x="664" y="1420"/>
            <a:ext cx="1" cy="159"/>
          </a:xfrm>
          <a:prstGeom prst="straightConnector1">
            <a:avLst/>
          </a:prstGeom>
          <a:noFill/>
          <a:ln w="19050">
            <a:solidFill>
              <a:srgbClr val="0000FF"/>
            </a:solidFill>
            <a:round/>
            <a:headEnd/>
            <a:tailEnd/>
          </a:ln>
          <a:extLst>
            <a:ext uri="{909E8E84-426E-40DD-AFC4-6F175D3DCCD1}">
              <a14:hiddenFill xmlns:a14="http://schemas.microsoft.com/office/drawing/2010/main">
                <a:noFill/>
              </a14:hiddenFill>
            </a:ext>
          </a:extLst>
        </xdr:spPr>
      </xdr:cxnSp>
    </xdr:grpSp>
    <xdr:clientData fLocksWithSheet="0"/>
  </xdr:twoCellAnchor>
  <xdr:twoCellAnchor>
    <xdr:from>
      <xdr:col>10</xdr:col>
      <xdr:colOff>84908</xdr:colOff>
      <xdr:row>41</xdr:row>
      <xdr:rowOff>86004</xdr:rowOff>
    </xdr:from>
    <xdr:to>
      <xdr:col>10</xdr:col>
      <xdr:colOff>298268</xdr:colOff>
      <xdr:row>41</xdr:row>
      <xdr:rowOff>86004</xdr:rowOff>
    </xdr:to>
    <xdr:cxnSp macro="">
      <xdr:nvCxnSpPr>
        <xdr:cNvPr id="152" name="AutoShape 65"/>
        <xdr:cNvCxnSpPr>
          <a:cxnSpLocks noChangeShapeType="1"/>
        </xdr:cNvCxnSpPr>
      </xdr:nvCxnSpPr>
      <xdr:spPr bwMode="auto">
        <a:xfrm rot="5400000">
          <a:off x="6729548" y="71116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84908</xdr:colOff>
      <xdr:row>40</xdr:row>
      <xdr:rowOff>108864</xdr:rowOff>
    </xdr:from>
    <xdr:to>
      <xdr:col>10</xdr:col>
      <xdr:colOff>298268</xdr:colOff>
      <xdr:row>40</xdr:row>
      <xdr:rowOff>108864</xdr:rowOff>
    </xdr:to>
    <xdr:cxnSp macro="">
      <xdr:nvCxnSpPr>
        <xdr:cNvPr id="153" name="AutoShape 66"/>
        <xdr:cNvCxnSpPr>
          <a:cxnSpLocks noChangeShapeType="1"/>
        </xdr:cNvCxnSpPr>
      </xdr:nvCxnSpPr>
      <xdr:spPr bwMode="auto">
        <a:xfrm rot="5400000" flipV="1">
          <a:off x="6729548" y="6959244"/>
          <a:ext cx="0" cy="213360"/>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41</xdr:row>
      <xdr:rowOff>72941</xdr:rowOff>
    </xdr:from>
    <xdr:to>
      <xdr:col>9</xdr:col>
      <xdr:colOff>326571</xdr:colOff>
      <xdr:row>41</xdr:row>
      <xdr:rowOff>72941</xdr:rowOff>
    </xdr:to>
    <xdr:cxnSp macro="">
      <xdr:nvCxnSpPr>
        <xdr:cNvPr id="154" name="AutoShape 67"/>
        <xdr:cNvCxnSpPr>
          <a:cxnSpLocks noChangeShapeType="1"/>
        </xdr:cNvCxnSpPr>
      </xdr:nvCxnSpPr>
      <xdr:spPr bwMode="auto">
        <a:xfrm rot="5400000">
          <a:off x="6365421" y="710239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120831</xdr:colOff>
      <xdr:row>40</xdr:row>
      <xdr:rowOff>111041</xdr:rowOff>
    </xdr:from>
    <xdr:to>
      <xdr:col>9</xdr:col>
      <xdr:colOff>326571</xdr:colOff>
      <xdr:row>40</xdr:row>
      <xdr:rowOff>111041</xdr:rowOff>
    </xdr:to>
    <xdr:cxnSp macro="">
      <xdr:nvCxnSpPr>
        <xdr:cNvPr id="155" name="AutoShape 68"/>
        <xdr:cNvCxnSpPr>
          <a:cxnSpLocks noChangeShapeType="1"/>
        </xdr:cNvCxnSpPr>
      </xdr:nvCxnSpPr>
      <xdr:spPr bwMode="auto">
        <a:xfrm rot="5400000" flipV="1">
          <a:off x="6365421" y="6965231"/>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41</xdr:row>
      <xdr:rowOff>94712</xdr:rowOff>
    </xdr:from>
    <xdr:to>
      <xdr:col>11</xdr:col>
      <xdr:colOff>286295</xdr:colOff>
      <xdr:row>41</xdr:row>
      <xdr:rowOff>94712</xdr:rowOff>
    </xdr:to>
    <xdr:cxnSp macro="">
      <xdr:nvCxnSpPr>
        <xdr:cNvPr id="156" name="AutoShape 69"/>
        <xdr:cNvCxnSpPr>
          <a:cxnSpLocks noChangeShapeType="1"/>
        </xdr:cNvCxnSpPr>
      </xdr:nvCxnSpPr>
      <xdr:spPr bwMode="auto">
        <a:xfrm rot="5400000">
          <a:off x="7113815" y="7120352"/>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72935</xdr:colOff>
      <xdr:row>40</xdr:row>
      <xdr:rowOff>108863</xdr:rowOff>
    </xdr:from>
    <xdr:to>
      <xdr:col>11</xdr:col>
      <xdr:colOff>286295</xdr:colOff>
      <xdr:row>40</xdr:row>
      <xdr:rowOff>108863</xdr:rowOff>
    </xdr:to>
    <xdr:cxnSp macro="">
      <xdr:nvCxnSpPr>
        <xdr:cNvPr id="157" name="AutoShape 70"/>
        <xdr:cNvCxnSpPr>
          <a:cxnSpLocks noChangeShapeType="1"/>
        </xdr:cNvCxnSpPr>
      </xdr:nvCxnSpPr>
      <xdr:spPr bwMode="auto">
        <a:xfrm rot="5400000" flipV="1">
          <a:off x="7113815" y="6959243"/>
          <a:ext cx="0" cy="213360"/>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260168</xdr:colOff>
      <xdr:row>42</xdr:row>
      <xdr:rowOff>70762</xdr:rowOff>
    </xdr:from>
    <xdr:to>
      <xdr:col>10</xdr:col>
      <xdr:colOff>260168</xdr:colOff>
      <xdr:row>43</xdr:row>
      <xdr:rowOff>101243</xdr:rowOff>
    </xdr:to>
    <xdr:cxnSp macro="">
      <xdr:nvCxnSpPr>
        <xdr:cNvPr id="158" name="AutoShape 71"/>
        <xdr:cNvCxnSpPr>
          <a:cxnSpLocks noChangeShapeType="1"/>
        </xdr:cNvCxnSpPr>
      </xdr:nvCxnSpPr>
      <xdr:spPr bwMode="auto">
        <a:xfrm>
          <a:off x="679812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10</xdr:col>
      <xdr:colOff>168728</xdr:colOff>
      <xdr:row>42</xdr:row>
      <xdr:rowOff>70762</xdr:rowOff>
    </xdr:from>
    <xdr:to>
      <xdr:col>10</xdr:col>
      <xdr:colOff>168728</xdr:colOff>
      <xdr:row>43</xdr:row>
      <xdr:rowOff>101243</xdr:rowOff>
    </xdr:to>
    <xdr:cxnSp macro="">
      <xdr:nvCxnSpPr>
        <xdr:cNvPr id="159" name="AutoShape 72"/>
        <xdr:cNvCxnSpPr>
          <a:cxnSpLocks noChangeShapeType="1"/>
        </xdr:cNvCxnSpPr>
      </xdr:nvCxnSpPr>
      <xdr:spPr bwMode="auto">
        <a:xfrm flipV="1">
          <a:off x="6706688" y="7378342"/>
          <a:ext cx="0" cy="205741"/>
        </a:xfrm>
        <a:prstGeom prst="straightConnector1">
          <a:avLst/>
        </a:prstGeom>
        <a:noFill/>
        <a:ln w="28575">
          <a:solidFill>
            <a:srgbClr val="0000FF"/>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263434</xdr:colOff>
      <xdr:row>42</xdr:row>
      <xdr:rowOff>65320</xdr:rowOff>
    </xdr:from>
    <xdr:to>
      <xdr:col>9</xdr:col>
      <xdr:colOff>263434</xdr:colOff>
      <xdr:row>43</xdr:row>
      <xdr:rowOff>95800</xdr:rowOff>
    </xdr:to>
    <xdr:cxnSp macro="">
      <xdr:nvCxnSpPr>
        <xdr:cNvPr id="160" name="AutoShape 73"/>
        <xdr:cNvCxnSpPr>
          <a:cxnSpLocks noChangeShapeType="1"/>
        </xdr:cNvCxnSpPr>
      </xdr:nvCxnSpPr>
      <xdr:spPr bwMode="auto">
        <a:xfrm>
          <a:off x="6405154" y="7372900"/>
          <a:ext cx="0" cy="20574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9</xdr:col>
      <xdr:colOff>171994</xdr:colOff>
      <xdr:row>42</xdr:row>
      <xdr:rowOff>65320</xdr:rowOff>
    </xdr:from>
    <xdr:to>
      <xdr:col>9</xdr:col>
      <xdr:colOff>171994</xdr:colOff>
      <xdr:row>43</xdr:row>
      <xdr:rowOff>103420</xdr:rowOff>
    </xdr:to>
    <xdr:cxnSp macro="">
      <xdr:nvCxnSpPr>
        <xdr:cNvPr id="161" name="AutoShape 74"/>
        <xdr:cNvCxnSpPr>
          <a:cxnSpLocks noChangeShapeType="1"/>
        </xdr:cNvCxnSpPr>
      </xdr:nvCxnSpPr>
      <xdr:spPr bwMode="auto">
        <a:xfrm flipV="1">
          <a:off x="6313714" y="7372900"/>
          <a:ext cx="0" cy="213360"/>
        </a:xfrm>
        <a:prstGeom prst="straightConnector1">
          <a:avLst/>
        </a:prstGeom>
        <a:noFill/>
        <a:ln w="28575">
          <a:solidFill>
            <a:srgbClr val="FF000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226423</xdr:colOff>
      <xdr:row>42</xdr:row>
      <xdr:rowOff>46815</xdr:rowOff>
    </xdr:from>
    <xdr:to>
      <xdr:col>11</xdr:col>
      <xdr:colOff>226423</xdr:colOff>
      <xdr:row>43</xdr:row>
      <xdr:rowOff>76206</xdr:rowOff>
    </xdr:to>
    <xdr:cxnSp macro="">
      <xdr:nvCxnSpPr>
        <xdr:cNvPr id="162" name="AutoShape 75"/>
        <xdr:cNvCxnSpPr>
          <a:cxnSpLocks noChangeShapeType="1"/>
        </xdr:cNvCxnSpPr>
      </xdr:nvCxnSpPr>
      <xdr:spPr bwMode="auto">
        <a:xfrm>
          <a:off x="716062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134983</xdr:colOff>
      <xdr:row>42</xdr:row>
      <xdr:rowOff>46815</xdr:rowOff>
    </xdr:from>
    <xdr:to>
      <xdr:col>11</xdr:col>
      <xdr:colOff>134983</xdr:colOff>
      <xdr:row>43</xdr:row>
      <xdr:rowOff>76206</xdr:rowOff>
    </xdr:to>
    <xdr:cxnSp macro="">
      <xdr:nvCxnSpPr>
        <xdr:cNvPr id="163" name="AutoShape 76"/>
        <xdr:cNvCxnSpPr>
          <a:cxnSpLocks noChangeShapeType="1"/>
        </xdr:cNvCxnSpPr>
      </xdr:nvCxnSpPr>
      <xdr:spPr bwMode="auto">
        <a:xfrm flipV="1">
          <a:off x="7069183" y="7354395"/>
          <a:ext cx="0" cy="204651"/>
        </a:xfrm>
        <a:prstGeom prst="straightConnector1">
          <a:avLst/>
        </a:prstGeom>
        <a:noFill/>
        <a:ln w="28575">
          <a:solidFill>
            <a:srgbClr val="00B050"/>
          </a:solidFill>
          <a:round/>
          <a:headEnd/>
          <a:tailEnd type="triangle" w="med" len="med"/>
        </a:ln>
        <a:extLst>
          <a:ext uri="{909E8E84-426E-40DD-AFC4-6F175D3DCCD1}">
            <a14:hiddenFill xmlns:a14="http://schemas.microsoft.com/office/drawing/2010/main">
              <a:noFill/>
            </a14:hiddenFill>
          </a:ext>
        </a:extLst>
      </xdr:spPr>
    </xdr:cxnSp>
    <xdr:clientData fLocksWithSheet="0"/>
  </xdr:twoCellAnchor>
  <xdr:twoCellAnchor>
    <xdr:from>
      <xdr:col>11</xdr:col>
      <xdr:colOff>7620</xdr:colOff>
      <xdr:row>44</xdr:row>
      <xdr:rowOff>60965</xdr:rowOff>
    </xdr:from>
    <xdr:to>
      <xdr:col>11</xdr:col>
      <xdr:colOff>320040</xdr:colOff>
      <xdr:row>44</xdr:row>
      <xdr:rowOff>152405</xdr:rowOff>
    </xdr:to>
    <xdr:sp macro="" textlink="">
      <xdr:nvSpPr>
        <xdr:cNvPr id="164" name="Oval 77"/>
        <xdr:cNvSpPr>
          <a:spLocks noChangeArrowheads="1"/>
        </xdr:cNvSpPr>
      </xdr:nvSpPr>
      <xdr:spPr bwMode="auto">
        <a:xfrm>
          <a:off x="6941820" y="7719065"/>
          <a:ext cx="312420" cy="91440"/>
        </a:xfrm>
        <a:prstGeom prst="ellipse">
          <a:avLst/>
        </a:prstGeom>
        <a:noFill/>
        <a:ln w="19050">
          <a:solidFill>
            <a:srgbClr val="00B05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47896</xdr:colOff>
      <xdr:row>44</xdr:row>
      <xdr:rowOff>69673</xdr:rowOff>
    </xdr:from>
    <xdr:to>
      <xdr:col>9</xdr:col>
      <xdr:colOff>367936</xdr:colOff>
      <xdr:row>44</xdr:row>
      <xdr:rowOff>160025</xdr:rowOff>
    </xdr:to>
    <xdr:sp macro="" textlink="">
      <xdr:nvSpPr>
        <xdr:cNvPr id="165" name="Oval 78"/>
        <xdr:cNvSpPr>
          <a:spLocks noChangeArrowheads="1"/>
        </xdr:cNvSpPr>
      </xdr:nvSpPr>
      <xdr:spPr bwMode="auto">
        <a:xfrm>
          <a:off x="6189616" y="7727773"/>
          <a:ext cx="320040" cy="90352"/>
        </a:xfrm>
        <a:prstGeom prst="ellipse">
          <a:avLst/>
        </a:prstGeom>
        <a:noFill/>
        <a:ln w="19050">
          <a:solidFill>
            <a:srgbClr val="FF0000"/>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63136</xdr:colOff>
      <xdr:row>44</xdr:row>
      <xdr:rowOff>64231</xdr:rowOff>
    </xdr:from>
    <xdr:to>
      <xdr:col>10</xdr:col>
      <xdr:colOff>375556</xdr:colOff>
      <xdr:row>44</xdr:row>
      <xdr:rowOff>154582</xdr:rowOff>
    </xdr:to>
    <xdr:sp macro="" textlink="">
      <xdr:nvSpPr>
        <xdr:cNvPr id="166" name="Oval 79"/>
        <xdr:cNvSpPr>
          <a:spLocks noChangeArrowheads="1"/>
        </xdr:cNvSpPr>
      </xdr:nvSpPr>
      <xdr:spPr bwMode="auto">
        <a:xfrm>
          <a:off x="6601096" y="7722331"/>
          <a:ext cx="312420" cy="90351"/>
        </a:xfrm>
        <a:prstGeom prst="ellipse">
          <a:avLst/>
        </a:prstGeom>
        <a:noFill/>
        <a:ln w="19050">
          <a:solidFill>
            <a:srgbClr val="0000FF"/>
          </a:solidFill>
          <a:round/>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157842</xdr:colOff>
      <xdr:row>46</xdr:row>
      <xdr:rowOff>4361</xdr:rowOff>
    </xdr:from>
    <xdr:to>
      <xdr:col>10</xdr:col>
      <xdr:colOff>333102</xdr:colOff>
      <xdr:row>47</xdr:row>
      <xdr:rowOff>11980</xdr:rowOff>
    </xdr:to>
    <xdr:sp macro="" textlink="">
      <xdr:nvSpPr>
        <xdr:cNvPr id="167" name="AutoShape 80"/>
        <xdr:cNvSpPr>
          <a:spLocks noChangeArrowheads="1"/>
        </xdr:cNvSpPr>
      </xdr:nvSpPr>
      <xdr:spPr bwMode="auto">
        <a:xfrm>
          <a:off x="6695802" y="8012981"/>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161108</xdr:colOff>
      <xdr:row>45</xdr:row>
      <xdr:rowOff>151318</xdr:rowOff>
    </xdr:from>
    <xdr:to>
      <xdr:col>9</xdr:col>
      <xdr:colOff>343988</xdr:colOff>
      <xdr:row>46</xdr:row>
      <xdr:rowOff>158938</xdr:rowOff>
    </xdr:to>
    <xdr:sp macro="" textlink="">
      <xdr:nvSpPr>
        <xdr:cNvPr id="168" name="AutoShape 82"/>
        <xdr:cNvSpPr>
          <a:spLocks noChangeArrowheads="1"/>
        </xdr:cNvSpPr>
      </xdr:nvSpPr>
      <xdr:spPr bwMode="auto">
        <a:xfrm>
          <a:off x="6302828" y="7984678"/>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145868</xdr:colOff>
      <xdr:row>46</xdr:row>
      <xdr:rowOff>1095</xdr:rowOff>
    </xdr:from>
    <xdr:to>
      <xdr:col>11</xdr:col>
      <xdr:colOff>321128</xdr:colOff>
      <xdr:row>47</xdr:row>
      <xdr:rowOff>1094</xdr:rowOff>
    </xdr:to>
    <xdr:sp macro="" textlink="">
      <xdr:nvSpPr>
        <xdr:cNvPr id="169" name="AutoShape 84"/>
        <xdr:cNvSpPr>
          <a:spLocks noChangeArrowheads="1"/>
        </xdr:cNvSpPr>
      </xdr:nvSpPr>
      <xdr:spPr bwMode="auto">
        <a:xfrm>
          <a:off x="7080068" y="8009715"/>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10</xdr:col>
      <xdr:colOff>41557</xdr:colOff>
      <xdr:row>45</xdr:row>
      <xdr:rowOff>77166</xdr:rowOff>
    </xdr:from>
    <xdr:to>
      <xdr:col>10</xdr:col>
      <xdr:colOff>216817</xdr:colOff>
      <xdr:row>46</xdr:row>
      <xdr:rowOff>84785</xdr:rowOff>
    </xdr:to>
    <xdr:sp macro="" textlink="">
      <xdr:nvSpPr>
        <xdr:cNvPr id="170" name="AutoShape 80"/>
        <xdr:cNvSpPr>
          <a:spLocks noChangeArrowheads="1"/>
        </xdr:cNvSpPr>
      </xdr:nvSpPr>
      <xdr:spPr bwMode="auto">
        <a:xfrm flipH="1">
          <a:off x="6579517" y="7910526"/>
          <a:ext cx="175260" cy="182879"/>
        </a:xfrm>
        <a:prstGeom prst="triangle">
          <a:avLst>
            <a:gd name="adj" fmla="val 92282"/>
          </a:avLst>
        </a:prstGeom>
        <a:noFill/>
        <a:ln w="19050">
          <a:solidFill>
            <a:srgbClr val="0000FF"/>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44823</xdr:colOff>
      <xdr:row>45</xdr:row>
      <xdr:rowOff>44829</xdr:rowOff>
    </xdr:from>
    <xdr:to>
      <xdr:col>9</xdr:col>
      <xdr:colOff>227703</xdr:colOff>
      <xdr:row>46</xdr:row>
      <xdr:rowOff>52449</xdr:rowOff>
    </xdr:to>
    <xdr:sp macro="" textlink="">
      <xdr:nvSpPr>
        <xdr:cNvPr id="171" name="AutoShape 82"/>
        <xdr:cNvSpPr>
          <a:spLocks noChangeArrowheads="1"/>
        </xdr:cNvSpPr>
      </xdr:nvSpPr>
      <xdr:spPr bwMode="auto">
        <a:xfrm flipH="1">
          <a:off x="6186543" y="7878189"/>
          <a:ext cx="182880" cy="182880"/>
        </a:xfrm>
        <a:prstGeom prst="triangle">
          <a:avLst>
            <a:gd name="adj" fmla="val 92282"/>
          </a:avLst>
        </a:prstGeom>
        <a:noFill/>
        <a:ln w="19050">
          <a:solidFill>
            <a:srgbClr val="FF000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11</xdr:col>
      <xdr:colOff>29583</xdr:colOff>
      <xdr:row>45</xdr:row>
      <xdr:rowOff>73900</xdr:rowOff>
    </xdr:from>
    <xdr:to>
      <xdr:col>11</xdr:col>
      <xdr:colOff>204843</xdr:colOff>
      <xdr:row>46</xdr:row>
      <xdr:rowOff>73899</xdr:rowOff>
    </xdr:to>
    <xdr:sp macro="" textlink="">
      <xdr:nvSpPr>
        <xdr:cNvPr id="172" name="AutoShape 84"/>
        <xdr:cNvSpPr>
          <a:spLocks noChangeArrowheads="1"/>
        </xdr:cNvSpPr>
      </xdr:nvSpPr>
      <xdr:spPr bwMode="auto">
        <a:xfrm flipH="1">
          <a:off x="6963783" y="7907260"/>
          <a:ext cx="175260" cy="175259"/>
        </a:xfrm>
        <a:prstGeom prst="triangle">
          <a:avLst>
            <a:gd name="adj" fmla="val 92282"/>
          </a:avLst>
        </a:prstGeom>
        <a:noFill/>
        <a:ln w="19050">
          <a:solidFill>
            <a:srgbClr val="00B050"/>
          </a:solidFill>
          <a:miter lim="800000"/>
          <a:headEnd/>
          <a:tailEnd/>
        </a:ln>
        <a:extLst>
          <a:ext uri="{909E8E84-426E-40DD-AFC4-6F175D3DCCD1}">
            <a14:hiddenFill xmlns:a14="http://schemas.microsoft.com/office/drawing/2010/main">
              <a:solidFill>
                <a:srgbClr val="FFFFFF"/>
              </a:solidFill>
            </a14:hiddenFill>
          </a:ext>
        </a:extLst>
      </xdr:spPr>
    </xdr:sp>
    <xdr:clientData fLocksWithSheet="0"/>
  </xdr:twoCellAnchor>
  <xdr:twoCellAnchor>
    <xdr:from>
      <xdr:col>9</xdr:col>
      <xdr:colOff>53788</xdr:colOff>
      <xdr:row>36</xdr:row>
      <xdr:rowOff>107576</xdr:rowOff>
    </xdr:from>
    <xdr:to>
      <xdr:col>9</xdr:col>
      <xdr:colOff>350189</xdr:colOff>
      <xdr:row>36</xdr:row>
      <xdr:rowOff>107576</xdr:rowOff>
    </xdr:to>
    <xdr:grpSp>
      <xdr:nvGrpSpPr>
        <xdr:cNvPr id="173" name="Groupe 172"/>
        <xdr:cNvGrpSpPr/>
      </xdr:nvGrpSpPr>
      <xdr:grpSpPr>
        <a:xfrm>
          <a:off x="6195508" y="6363596"/>
          <a:ext cx="296401" cy="0"/>
          <a:chOff x="8292353" y="5235388"/>
          <a:chExt cx="296401" cy="0"/>
        </a:xfrm>
      </xdr:grpSpPr>
      <xdr:cxnSp macro="">
        <xdr:nvCxnSpPr>
          <xdr:cNvPr id="174" name="Connecteur droit avec flèche 173"/>
          <xdr:cNvCxnSpPr/>
        </xdr:nvCxnSpPr>
        <xdr:spPr>
          <a:xfrm>
            <a:off x="8292353"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5" name="Connecteur droit avec flèche 174"/>
          <xdr:cNvCxnSpPr/>
        </xdr:nvCxnSpPr>
        <xdr:spPr>
          <a:xfrm flipH="1">
            <a:off x="8444754" y="5235388"/>
            <a:ext cx="144000" cy="0"/>
          </a:xfrm>
          <a:prstGeom prst="straightConnector1">
            <a:avLst/>
          </a:prstGeom>
          <a:ln w="28575">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10</xdr:col>
      <xdr:colOff>44824</xdr:colOff>
      <xdr:row>36</xdr:row>
      <xdr:rowOff>107576</xdr:rowOff>
    </xdr:from>
    <xdr:to>
      <xdr:col>10</xdr:col>
      <xdr:colOff>341225</xdr:colOff>
      <xdr:row>36</xdr:row>
      <xdr:rowOff>107576</xdr:rowOff>
    </xdr:to>
    <xdr:grpSp>
      <xdr:nvGrpSpPr>
        <xdr:cNvPr id="176" name="Groupe 175"/>
        <xdr:cNvGrpSpPr/>
      </xdr:nvGrpSpPr>
      <xdr:grpSpPr>
        <a:xfrm>
          <a:off x="6582784" y="6363596"/>
          <a:ext cx="296401" cy="0"/>
          <a:chOff x="8292353" y="5235388"/>
          <a:chExt cx="296401" cy="0"/>
        </a:xfrm>
      </xdr:grpSpPr>
      <xdr:cxnSp macro="">
        <xdr:nvCxnSpPr>
          <xdr:cNvPr id="177" name="Connecteur droit avec flèche 176"/>
          <xdr:cNvCxnSpPr/>
        </xdr:nvCxnSpPr>
        <xdr:spPr>
          <a:xfrm>
            <a:off x="8292353"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78" name="Connecteur droit avec flèche 177"/>
          <xdr:cNvCxnSpPr/>
        </xdr:nvCxnSpPr>
        <xdr:spPr>
          <a:xfrm flipH="1">
            <a:off x="8444754" y="5235388"/>
            <a:ext cx="144000" cy="0"/>
          </a:xfrm>
          <a:prstGeom prst="straightConnector1">
            <a:avLst/>
          </a:prstGeom>
          <a:ln w="28575">
            <a:solidFill>
              <a:srgbClr val="0000C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11</xdr:col>
      <xdr:colOff>35859</xdr:colOff>
      <xdr:row>36</xdr:row>
      <xdr:rowOff>98612</xdr:rowOff>
    </xdr:from>
    <xdr:to>
      <xdr:col>11</xdr:col>
      <xdr:colOff>332260</xdr:colOff>
      <xdr:row>36</xdr:row>
      <xdr:rowOff>98612</xdr:rowOff>
    </xdr:to>
    <xdr:grpSp>
      <xdr:nvGrpSpPr>
        <xdr:cNvPr id="179" name="Groupe 178"/>
        <xdr:cNvGrpSpPr/>
      </xdr:nvGrpSpPr>
      <xdr:grpSpPr>
        <a:xfrm>
          <a:off x="6970059" y="6354632"/>
          <a:ext cx="296401" cy="0"/>
          <a:chOff x="8292353" y="5235388"/>
          <a:chExt cx="296401" cy="0"/>
        </a:xfrm>
      </xdr:grpSpPr>
      <xdr:cxnSp macro="">
        <xdr:nvCxnSpPr>
          <xdr:cNvPr id="180" name="Connecteur droit avec flèche 179"/>
          <xdr:cNvCxnSpPr/>
        </xdr:nvCxnSpPr>
        <xdr:spPr>
          <a:xfrm>
            <a:off x="8292353"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81" name="Connecteur droit avec flèche 180"/>
          <xdr:cNvCxnSpPr/>
        </xdr:nvCxnSpPr>
        <xdr:spPr>
          <a:xfrm flipH="1">
            <a:off x="8444754" y="5235388"/>
            <a:ext cx="144000" cy="0"/>
          </a:xfrm>
          <a:prstGeom prst="straightConnector1">
            <a:avLst/>
          </a:prstGeom>
          <a:ln w="28575">
            <a:solidFill>
              <a:srgbClr val="669E40"/>
            </a:solidFill>
            <a:tailEnd type="triangle"/>
          </a:ln>
        </xdr:spPr>
        <xdr:style>
          <a:lnRef idx="1">
            <a:schemeClr val="accent1"/>
          </a:lnRef>
          <a:fillRef idx="0">
            <a:schemeClr val="accent1"/>
          </a:fillRef>
          <a:effectRef idx="0">
            <a:schemeClr val="accent1"/>
          </a:effectRef>
          <a:fontRef idx="minor">
            <a:schemeClr val="tx1"/>
          </a:fontRef>
        </xdr:style>
      </xdr:cxnSp>
    </xdr:grp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B1:O112"/>
  <sheetViews>
    <sheetView zoomScaleNormal="100" workbookViewId="0">
      <selection activeCell="B2" sqref="B2:K112"/>
    </sheetView>
  </sheetViews>
  <sheetFormatPr baseColWidth="10" defaultRowHeight="13.8" x14ac:dyDescent="0.25"/>
  <cols>
    <col min="1" max="1" width="7" style="100" customWidth="1"/>
    <col min="2" max="2" width="21" style="100" customWidth="1"/>
    <col min="3" max="4" width="3.77734375" style="100" customWidth="1"/>
    <col min="5" max="6" width="20.77734375" style="100" customWidth="1"/>
    <col min="7" max="11" width="5.77734375" style="100" customWidth="1"/>
    <col min="12" max="12" width="3.33203125" style="100" customWidth="1"/>
    <col min="13" max="13" width="17.33203125" style="100" customWidth="1"/>
    <col min="14" max="16384" width="11.5546875" style="100"/>
  </cols>
  <sheetData>
    <row r="1" spans="2:13" ht="14.4" thickBot="1" x14ac:dyDescent="0.3">
      <c r="B1" s="197" t="s">
        <v>4</v>
      </c>
      <c r="C1" s="198"/>
      <c r="D1" s="198"/>
      <c r="E1" s="198"/>
      <c r="F1" s="198"/>
      <c r="G1" s="198"/>
      <c r="H1" s="198"/>
      <c r="I1" s="198"/>
      <c r="J1" s="198"/>
      <c r="K1" s="199"/>
    </row>
    <row r="2" spans="2:13" x14ac:dyDescent="0.25">
      <c r="B2" s="145" t="s">
        <v>5</v>
      </c>
      <c r="C2" s="232" t="s">
        <v>414</v>
      </c>
      <c r="D2" s="233"/>
      <c r="E2" s="233"/>
      <c r="F2" s="233"/>
      <c r="G2" s="233"/>
      <c r="H2" s="233"/>
      <c r="I2" s="233"/>
      <c r="J2" s="233"/>
      <c r="K2" s="234"/>
    </row>
    <row r="3" spans="2:13" x14ac:dyDescent="0.25">
      <c r="B3" s="146" t="s">
        <v>6</v>
      </c>
      <c r="C3" s="188" t="s">
        <v>415</v>
      </c>
      <c r="D3" s="188"/>
      <c r="E3" s="188"/>
      <c r="F3" s="188"/>
      <c r="G3" s="188"/>
      <c r="H3" s="188"/>
      <c r="I3" s="188"/>
      <c r="J3" s="188"/>
      <c r="K3" s="204"/>
    </row>
    <row r="4" spans="2:13" x14ac:dyDescent="0.25">
      <c r="B4" s="146" t="s">
        <v>7</v>
      </c>
      <c r="C4" s="188" t="s">
        <v>222</v>
      </c>
      <c r="D4" s="188"/>
      <c r="E4" s="188"/>
      <c r="F4" s="188"/>
      <c r="G4" s="188"/>
      <c r="H4" s="188"/>
      <c r="I4" s="188"/>
      <c r="J4" s="188"/>
      <c r="K4" s="204"/>
    </row>
    <row r="5" spans="2:13" x14ac:dyDescent="0.25">
      <c r="B5" s="146" t="s">
        <v>366</v>
      </c>
      <c r="C5" s="205">
        <v>30404</v>
      </c>
      <c r="D5" s="205"/>
      <c r="E5" s="205"/>
      <c r="F5" s="205"/>
      <c r="G5" s="205"/>
      <c r="H5" s="205"/>
      <c r="I5" s="205"/>
      <c r="J5" s="205"/>
      <c r="K5" s="206"/>
    </row>
    <row r="6" spans="2:13" x14ac:dyDescent="0.25">
      <c r="B6" s="147" t="s">
        <v>367</v>
      </c>
      <c r="C6" s="220">
        <v>66</v>
      </c>
      <c r="D6" s="220"/>
      <c r="E6" s="220"/>
      <c r="F6" s="220"/>
      <c r="G6" s="220"/>
      <c r="H6" s="220"/>
      <c r="I6" s="220"/>
      <c r="J6" s="220"/>
      <c r="K6" s="221"/>
    </row>
    <row r="7" spans="2:13" ht="14.4" thickBot="1" x14ac:dyDescent="0.3">
      <c r="B7" s="148" t="s">
        <v>368</v>
      </c>
      <c r="C7" s="222">
        <v>166</v>
      </c>
      <c r="D7" s="222"/>
      <c r="E7" s="222"/>
      <c r="F7" s="222"/>
      <c r="G7" s="222"/>
      <c r="H7" s="222"/>
      <c r="I7" s="222"/>
      <c r="J7" s="222"/>
      <c r="K7" s="223"/>
    </row>
    <row r="8" spans="2:13" ht="10.050000000000001" customHeight="1" thickBot="1" x14ac:dyDescent="0.3"/>
    <row r="9" spans="2:13" ht="15" customHeight="1" thickBot="1" x14ac:dyDescent="0.3">
      <c r="B9" s="200" t="s">
        <v>394</v>
      </c>
      <c r="C9" s="201"/>
      <c r="D9" s="201"/>
      <c r="E9" s="201"/>
      <c r="F9" s="201"/>
      <c r="G9" s="201"/>
      <c r="H9" s="201"/>
      <c r="I9" s="201"/>
      <c r="J9" s="201"/>
      <c r="K9" s="202"/>
    </row>
    <row r="10" spans="2:13" ht="15" customHeight="1" x14ac:dyDescent="0.25">
      <c r="B10" s="145" t="s">
        <v>17</v>
      </c>
      <c r="C10" s="187" t="s">
        <v>264</v>
      </c>
      <c r="D10" s="187"/>
      <c r="E10" s="187"/>
      <c r="F10" s="187"/>
      <c r="G10" s="187"/>
      <c r="H10" s="187"/>
      <c r="I10" s="187"/>
      <c r="J10" s="187"/>
      <c r="K10" s="203"/>
    </row>
    <row r="11" spans="2:13" ht="15" customHeight="1" x14ac:dyDescent="0.25">
      <c r="B11" s="102" t="s">
        <v>8</v>
      </c>
      <c r="C11" s="188" t="s">
        <v>60</v>
      </c>
      <c r="D11" s="188"/>
      <c r="E11" s="188"/>
      <c r="F11" s="188"/>
      <c r="G11" s="188"/>
      <c r="H11" s="188"/>
      <c r="I11" s="188"/>
      <c r="J11" s="188"/>
      <c r="K11" s="204"/>
    </row>
    <row r="12" spans="2:13" ht="15" customHeight="1" x14ac:dyDescent="0.25">
      <c r="B12" s="102" t="s">
        <v>395</v>
      </c>
      <c r="C12" s="205">
        <v>30404</v>
      </c>
      <c r="D12" s="205"/>
      <c r="E12" s="205"/>
      <c r="F12" s="205"/>
      <c r="G12" s="205"/>
      <c r="H12" s="205"/>
      <c r="I12" s="205"/>
      <c r="J12" s="205"/>
      <c r="K12" s="206"/>
      <c r="M12" s="100" t="s">
        <v>403</v>
      </c>
    </row>
    <row r="13" spans="2:13" ht="15" customHeight="1" x14ac:dyDescent="0.25">
      <c r="B13" s="102" t="s">
        <v>396</v>
      </c>
      <c r="C13" s="212" t="s">
        <v>265</v>
      </c>
      <c r="D13" s="212"/>
      <c r="E13" s="212"/>
      <c r="F13" s="212"/>
      <c r="G13" s="212"/>
      <c r="H13" s="212"/>
      <c r="I13" s="212"/>
      <c r="J13" s="212"/>
      <c r="K13" s="213"/>
    </row>
    <row r="14" spans="2:13" ht="15" customHeight="1" thickBot="1" x14ac:dyDescent="0.3">
      <c r="B14" s="149" t="s">
        <v>397</v>
      </c>
      <c r="C14" s="224" t="s">
        <v>271</v>
      </c>
      <c r="D14" s="224"/>
      <c r="E14" s="224"/>
      <c r="F14" s="224"/>
      <c r="G14" s="224"/>
      <c r="H14" s="224"/>
      <c r="I14" s="224"/>
      <c r="J14" s="224"/>
      <c r="K14" s="225"/>
    </row>
    <row r="15" spans="2:13" ht="10.050000000000001" customHeight="1" thickBot="1" x14ac:dyDescent="0.3">
      <c r="B15" s="150"/>
      <c r="C15" s="151"/>
      <c r="D15" s="151"/>
      <c r="E15" s="151"/>
      <c r="F15" s="151"/>
      <c r="G15" s="151"/>
      <c r="H15" s="151"/>
      <c r="I15" s="151"/>
      <c r="J15" s="151"/>
      <c r="K15" s="151"/>
    </row>
    <row r="16" spans="2:13" ht="15" customHeight="1" thickBot="1" x14ac:dyDescent="0.3">
      <c r="B16" s="200" t="s">
        <v>398</v>
      </c>
      <c r="C16" s="201"/>
      <c r="D16" s="201"/>
      <c r="E16" s="201"/>
      <c r="F16" s="201"/>
      <c r="G16" s="201"/>
      <c r="H16" s="201"/>
      <c r="I16" s="201"/>
      <c r="J16" s="201"/>
      <c r="K16" s="202"/>
    </row>
    <row r="17" spans="2:13" ht="15" customHeight="1" x14ac:dyDescent="0.25">
      <c r="B17" s="226" t="s">
        <v>27</v>
      </c>
      <c r="C17" s="187" t="s">
        <v>416</v>
      </c>
      <c r="D17" s="187"/>
      <c r="E17" s="187"/>
      <c r="F17" s="187"/>
      <c r="G17" s="186" t="s">
        <v>0</v>
      </c>
      <c r="H17" s="186"/>
      <c r="I17" s="179">
        <v>30404</v>
      </c>
      <c r="J17" s="179"/>
      <c r="K17" s="180"/>
      <c r="M17" s="100" t="s">
        <v>403</v>
      </c>
    </row>
    <row r="18" spans="2:13" ht="15" customHeight="1" x14ac:dyDescent="0.25">
      <c r="B18" s="227"/>
      <c r="C18" s="188" t="s">
        <v>60</v>
      </c>
      <c r="D18" s="188"/>
      <c r="E18" s="188"/>
      <c r="F18" s="188"/>
      <c r="G18" s="185" t="s">
        <v>0</v>
      </c>
      <c r="H18" s="185"/>
      <c r="I18" s="181"/>
      <c r="J18" s="181"/>
      <c r="K18" s="182"/>
    </row>
    <row r="19" spans="2:13" ht="15" customHeight="1" x14ac:dyDescent="0.25">
      <c r="B19" s="227"/>
      <c r="C19" s="188" t="s">
        <v>60</v>
      </c>
      <c r="D19" s="188"/>
      <c r="E19" s="188"/>
      <c r="F19" s="188"/>
      <c r="G19" s="185" t="s">
        <v>0</v>
      </c>
      <c r="H19" s="185"/>
      <c r="I19" s="181"/>
      <c r="J19" s="181"/>
      <c r="K19" s="182"/>
    </row>
    <row r="20" spans="2:13" ht="15" customHeight="1" x14ac:dyDescent="0.25">
      <c r="B20" s="227"/>
      <c r="C20" s="188" t="s">
        <v>60</v>
      </c>
      <c r="D20" s="188"/>
      <c r="E20" s="188"/>
      <c r="F20" s="188"/>
      <c r="G20" s="185" t="s">
        <v>0</v>
      </c>
      <c r="H20" s="185"/>
      <c r="I20" s="181"/>
      <c r="J20" s="181"/>
      <c r="K20" s="182"/>
    </row>
    <row r="21" spans="2:13" ht="15" customHeight="1" x14ac:dyDescent="0.25">
      <c r="B21" s="227"/>
      <c r="C21" s="188" t="s">
        <v>60</v>
      </c>
      <c r="D21" s="188"/>
      <c r="E21" s="188"/>
      <c r="F21" s="188"/>
      <c r="G21" s="185" t="s">
        <v>0</v>
      </c>
      <c r="H21" s="185"/>
      <c r="I21" s="181"/>
      <c r="J21" s="181"/>
      <c r="K21" s="182"/>
    </row>
    <row r="22" spans="2:13" ht="15" customHeight="1" thickBot="1" x14ac:dyDescent="0.3">
      <c r="B22" s="228"/>
      <c r="C22" s="231" t="s">
        <v>417</v>
      </c>
      <c r="D22" s="231"/>
      <c r="E22" s="231"/>
      <c r="F22" s="231"/>
      <c r="G22" s="178" t="s">
        <v>0</v>
      </c>
      <c r="H22" s="178"/>
      <c r="I22" s="183">
        <v>43188</v>
      </c>
      <c r="J22" s="183"/>
      <c r="K22" s="184"/>
    </row>
    <row r="23" spans="2:13" ht="10.050000000000001" customHeight="1" thickBot="1" x14ac:dyDescent="0.3"/>
    <row r="24" spans="2:13" ht="14.4" thickBot="1" x14ac:dyDescent="0.3">
      <c r="B24" s="200" t="s">
        <v>9</v>
      </c>
      <c r="C24" s="201"/>
      <c r="D24" s="201"/>
      <c r="E24" s="201"/>
      <c r="F24" s="201"/>
      <c r="G24" s="201"/>
      <c r="H24" s="201"/>
      <c r="I24" s="201"/>
      <c r="J24" s="201"/>
      <c r="K24" s="202"/>
    </row>
    <row r="25" spans="2:13" x14ac:dyDescent="0.25">
      <c r="B25" s="101" t="s">
        <v>1</v>
      </c>
      <c r="C25" s="187" t="s">
        <v>241</v>
      </c>
      <c r="D25" s="187"/>
      <c r="E25" s="187"/>
      <c r="F25" s="187"/>
      <c r="G25" s="187"/>
      <c r="H25" s="187"/>
      <c r="I25" s="187"/>
      <c r="J25" s="187"/>
      <c r="K25" s="203"/>
    </row>
    <row r="26" spans="2:13" x14ac:dyDescent="0.25">
      <c r="B26" s="102" t="s">
        <v>10</v>
      </c>
      <c r="C26" s="188" t="s">
        <v>261</v>
      </c>
      <c r="D26" s="188"/>
      <c r="E26" s="188"/>
      <c r="F26" s="188"/>
      <c r="G26" s="188"/>
      <c r="H26" s="188"/>
      <c r="I26" s="188"/>
      <c r="J26" s="188"/>
      <c r="K26" s="204"/>
    </row>
    <row r="27" spans="2:13" x14ac:dyDescent="0.25">
      <c r="B27" s="102" t="s">
        <v>0</v>
      </c>
      <c r="C27" s="205">
        <v>43236</v>
      </c>
      <c r="D27" s="205"/>
      <c r="E27" s="205"/>
      <c r="F27" s="205"/>
      <c r="G27" s="205"/>
      <c r="H27" s="205"/>
      <c r="I27" s="205"/>
      <c r="J27" s="205"/>
      <c r="K27" s="206"/>
    </row>
    <row r="28" spans="2:13" x14ac:dyDescent="0.25">
      <c r="B28" s="102" t="s">
        <v>11</v>
      </c>
      <c r="C28" s="188" t="s">
        <v>278</v>
      </c>
      <c r="D28" s="188"/>
      <c r="E28" s="188"/>
      <c r="F28" s="188"/>
      <c r="G28" s="188"/>
      <c r="H28" s="188"/>
      <c r="I28" s="188"/>
      <c r="J28" s="188"/>
      <c r="K28" s="204"/>
    </row>
    <row r="29" spans="2:13" ht="76.8" customHeight="1" thickBot="1" x14ac:dyDescent="0.3">
      <c r="B29" s="103" t="s">
        <v>25</v>
      </c>
      <c r="C29" s="229" t="s">
        <v>418</v>
      </c>
      <c r="D29" s="229"/>
      <c r="E29" s="229"/>
      <c r="F29" s="229"/>
      <c r="G29" s="229"/>
      <c r="H29" s="229"/>
      <c r="I29" s="229"/>
      <c r="J29" s="229"/>
      <c r="K29" s="230"/>
    </row>
    <row r="30" spans="2:13" ht="10.050000000000001" customHeight="1" thickBot="1" x14ac:dyDescent="0.3"/>
    <row r="31" spans="2:13" ht="14.4" thickBot="1" x14ac:dyDescent="0.3">
      <c r="B31" s="197" t="s">
        <v>370</v>
      </c>
      <c r="C31" s="198"/>
      <c r="D31" s="198"/>
      <c r="E31" s="198"/>
      <c r="F31" s="198"/>
      <c r="G31" s="198"/>
      <c r="H31" s="198"/>
      <c r="I31" s="198"/>
      <c r="J31" s="198"/>
      <c r="K31" s="199"/>
    </row>
    <row r="32" spans="2:13" x14ac:dyDescent="0.25">
      <c r="B32" s="208" t="s">
        <v>371</v>
      </c>
      <c r="C32" s="209"/>
      <c r="D32" s="209"/>
      <c r="E32" s="209"/>
      <c r="F32" s="210" t="s">
        <v>238</v>
      </c>
      <c r="G32" s="210"/>
      <c r="H32" s="210"/>
      <c r="I32" s="210"/>
      <c r="J32" s="210"/>
      <c r="K32" s="211"/>
    </row>
    <row r="33" spans="2:13" x14ac:dyDescent="0.25">
      <c r="B33" s="214" t="s">
        <v>372</v>
      </c>
      <c r="C33" s="215"/>
      <c r="D33" s="207" t="s">
        <v>375</v>
      </c>
      <c r="E33" s="207"/>
      <c r="F33" s="212" t="s">
        <v>476</v>
      </c>
      <c r="G33" s="212"/>
      <c r="H33" s="212"/>
      <c r="I33" s="212"/>
      <c r="J33" s="212"/>
      <c r="K33" s="213"/>
    </row>
    <row r="34" spans="2:13" x14ac:dyDescent="0.25">
      <c r="B34" s="216"/>
      <c r="C34" s="217"/>
      <c r="D34" s="207" t="s">
        <v>374</v>
      </c>
      <c r="E34" s="207"/>
      <c r="F34" s="212" t="s">
        <v>475</v>
      </c>
      <c r="G34" s="212"/>
      <c r="H34" s="212"/>
      <c r="I34" s="212"/>
      <c r="J34" s="212"/>
      <c r="K34" s="213"/>
    </row>
    <row r="35" spans="2:13" x14ac:dyDescent="0.25">
      <c r="B35" s="216"/>
      <c r="C35" s="217"/>
      <c r="D35" s="207" t="s">
        <v>376</v>
      </c>
      <c r="E35" s="207"/>
      <c r="F35" s="212" t="s">
        <v>475</v>
      </c>
      <c r="G35" s="212"/>
      <c r="H35" s="212"/>
      <c r="I35" s="212"/>
      <c r="J35" s="212"/>
      <c r="K35" s="213"/>
    </row>
    <row r="36" spans="2:13" x14ac:dyDescent="0.25">
      <c r="B36" s="218"/>
      <c r="C36" s="219"/>
      <c r="D36" s="207" t="s">
        <v>377</v>
      </c>
      <c r="E36" s="207"/>
      <c r="F36" s="212" t="s">
        <v>475</v>
      </c>
      <c r="G36" s="212"/>
      <c r="H36" s="212"/>
      <c r="I36" s="212"/>
      <c r="J36" s="212"/>
      <c r="K36" s="213"/>
    </row>
    <row r="37" spans="2:13" x14ac:dyDescent="0.25">
      <c r="B37" s="189" t="s">
        <v>373</v>
      </c>
      <c r="C37" s="190"/>
      <c r="D37" s="152">
        <v>1</v>
      </c>
      <c r="E37" s="165" t="s">
        <v>499</v>
      </c>
      <c r="F37" s="166" t="s">
        <v>478</v>
      </c>
      <c r="G37" s="153">
        <v>9</v>
      </c>
      <c r="H37" s="193"/>
      <c r="I37" s="193"/>
      <c r="J37" s="193"/>
      <c r="K37" s="194"/>
    </row>
    <row r="38" spans="2:13" x14ac:dyDescent="0.25">
      <c r="B38" s="189"/>
      <c r="C38" s="190"/>
      <c r="D38" s="154">
        <v>2</v>
      </c>
      <c r="E38" s="167" t="s">
        <v>500</v>
      </c>
      <c r="F38" s="168" t="s">
        <v>479</v>
      </c>
      <c r="G38" s="155">
        <v>10</v>
      </c>
      <c r="H38" s="193"/>
      <c r="I38" s="193"/>
      <c r="J38" s="193"/>
      <c r="K38" s="194"/>
    </row>
    <row r="39" spans="2:13" x14ac:dyDescent="0.25">
      <c r="B39" s="189"/>
      <c r="C39" s="190"/>
      <c r="D39" s="156">
        <v>3</v>
      </c>
      <c r="E39" s="167" t="s">
        <v>501</v>
      </c>
      <c r="F39" s="168" t="s">
        <v>480</v>
      </c>
      <c r="G39" s="155">
        <v>11</v>
      </c>
      <c r="H39" s="193"/>
      <c r="I39" s="193"/>
      <c r="J39" s="193"/>
      <c r="K39" s="194"/>
    </row>
    <row r="40" spans="2:13" x14ac:dyDescent="0.25">
      <c r="B40" s="189"/>
      <c r="C40" s="190"/>
      <c r="D40" s="154">
        <v>4</v>
      </c>
      <c r="E40" s="167" t="s">
        <v>502</v>
      </c>
      <c r="F40" s="168" t="s">
        <v>481</v>
      </c>
      <c r="G40" s="155">
        <v>12</v>
      </c>
      <c r="H40" s="193"/>
      <c r="I40" s="193"/>
      <c r="J40" s="193"/>
      <c r="K40" s="194"/>
    </row>
    <row r="41" spans="2:13" x14ac:dyDescent="0.25">
      <c r="B41" s="189"/>
      <c r="C41" s="190"/>
      <c r="D41" s="156">
        <v>5</v>
      </c>
      <c r="E41" s="167" t="s">
        <v>503</v>
      </c>
      <c r="F41" s="168" t="s">
        <v>482</v>
      </c>
      <c r="G41" s="155">
        <v>13</v>
      </c>
      <c r="H41" s="193"/>
      <c r="I41" s="193"/>
      <c r="J41" s="193"/>
      <c r="K41" s="194"/>
    </row>
    <row r="42" spans="2:13" x14ac:dyDescent="0.25">
      <c r="B42" s="189"/>
      <c r="C42" s="190"/>
      <c r="D42" s="154">
        <v>6</v>
      </c>
      <c r="E42" s="167" t="s">
        <v>504</v>
      </c>
      <c r="F42" s="168" t="s">
        <v>483</v>
      </c>
      <c r="G42" s="155">
        <v>14</v>
      </c>
      <c r="H42" s="193"/>
      <c r="I42" s="193"/>
      <c r="J42" s="193"/>
      <c r="K42" s="194"/>
    </row>
    <row r="43" spans="2:13" x14ac:dyDescent="0.25">
      <c r="B43" s="189"/>
      <c r="C43" s="190"/>
      <c r="D43" s="156">
        <v>7</v>
      </c>
      <c r="E43" s="167" t="s">
        <v>505</v>
      </c>
      <c r="F43" s="168" t="s">
        <v>484</v>
      </c>
      <c r="G43" s="155">
        <v>15</v>
      </c>
      <c r="H43" s="193"/>
      <c r="I43" s="193"/>
      <c r="J43" s="193"/>
      <c r="K43" s="194"/>
    </row>
    <row r="44" spans="2:13" ht="14.4" thickBot="1" x14ac:dyDescent="0.3">
      <c r="B44" s="191"/>
      <c r="C44" s="192"/>
      <c r="D44" s="157">
        <v>8</v>
      </c>
      <c r="E44" s="169" t="s">
        <v>506</v>
      </c>
      <c r="F44" s="170" t="s">
        <v>485</v>
      </c>
      <c r="G44" s="158">
        <v>16</v>
      </c>
      <c r="H44" s="195"/>
      <c r="I44" s="195"/>
      <c r="J44" s="195"/>
      <c r="K44" s="196"/>
    </row>
    <row r="45" spans="2:13" ht="10.050000000000001" customHeight="1" thickBot="1" x14ac:dyDescent="0.3"/>
    <row r="46" spans="2:13" ht="14.4" thickBot="1" x14ac:dyDescent="0.3">
      <c r="B46" s="197" t="s">
        <v>378</v>
      </c>
      <c r="C46" s="198"/>
      <c r="D46" s="198"/>
      <c r="E46" s="198"/>
      <c r="F46" s="198"/>
      <c r="G46" s="198"/>
      <c r="H46" s="198"/>
      <c r="I46" s="198"/>
      <c r="J46" s="198"/>
      <c r="K46" s="199"/>
    </row>
    <row r="47" spans="2:13" x14ac:dyDescent="0.25">
      <c r="B47" s="159" t="s">
        <v>5</v>
      </c>
      <c r="C47" s="159" t="s">
        <v>75</v>
      </c>
      <c r="D47" s="159" t="s">
        <v>74</v>
      </c>
      <c r="E47" s="160" t="s">
        <v>379</v>
      </c>
      <c r="F47" s="161" t="s">
        <v>380</v>
      </c>
      <c r="G47" s="162" t="s">
        <v>381</v>
      </c>
      <c r="H47" s="162" t="s">
        <v>382</v>
      </c>
      <c r="I47" s="162" t="s">
        <v>383</v>
      </c>
      <c r="J47" s="162" t="s">
        <v>384</v>
      </c>
      <c r="K47" s="162" t="s">
        <v>525</v>
      </c>
      <c r="M47" s="160" t="s">
        <v>379</v>
      </c>
    </row>
    <row r="48" spans="2:13" x14ac:dyDescent="0.25">
      <c r="B48" s="176" t="s">
        <v>385</v>
      </c>
      <c r="C48" s="172"/>
      <c r="D48" s="172"/>
      <c r="E48" s="173" t="s">
        <v>390</v>
      </c>
      <c r="F48" s="174"/>
      <c r="G48" s="175" t="s">
        <v>474</v>
      </c>
      <c r="H48" s="175"/>
      <c r="I48" s="175"/>
      <c r="J48" s="175"/>
      <c r="K48" s="175"/>
      <c r="M48" s="173" t="s">
        <v>390</v>
      </c>
    </row>
    <row r="49" spans="2:15" x14ac:dyDescent="0.25">
      <c r="B49" s="171" t="s">
        <v>386</v>
      </c>
      <c r="C49" s="172"/>
      <c r="D49" s="172"/>
      <c r="E49" s="173"/>
      <c r="F49" s="174"/>
      <c r="G49" s="175"/>
      <c r="H49" s="175"/>
      <c r="I49" s="175"/>
      <c r="J49" s="175"/>
      <c r="K49" s="175"/>
      <c r="M49" s="173" t="s">
        <v>391</v>
      </c>
    </row>
    <row r="50" spans="2:15" x14ac:dyDescent="0.25">
      <c r="B50" s="171" t="s">
        <v>387</v>
      </c>
      <c r="C50" s="172"/>
      <c r="D50" s="172"/>
      <c r="E50" s="173"/>
      <c r="F50" s="174"/>
      <c r="G50" s="175"/>
      <c r="H50" s="175"/>
      <c r="I50" s="175"/>
      <c r="J50" s="175"/>
      <c r="K50" s="175"/>
    </row>
    <row r="51" spans="2:15" ht="14.4" x14ac:dyDescent="0.3">
      <c r="B51" s="171" t="s">
        <v>388</v>
      </c>
      <c r="C51" s="172"/>
      <c r="D51" s="172"/>
      <c r="E51" s="173"/>
      <c r="F51" s="174"/>
      <c r="G51" s="175"/>
      <c r="H51" s="175"/>
      <c r="I51" s="175"/>
      <c r="J51" s="175"/>
      <c r="K51" s="175"/>
      <c r="M51" s="176"/>
      <c r="N51" s="163" t="s">
        <v>392</v>
      </c>
      <c r="O51" s="164"/>
    </row>
    <row r="52" spans="2:15" ht="14.4" x14ac:dyDescent="0.3">
      <c r="B52" s="171" t="s">
        <v>389</v>
      </c>
      <c r="C52" s="172"/>
      <c r="D52" s="172"/>
      <c r="E52" s="173"/>
      <c r="F52" s="174"/>
      <c r="G52" s="175"/>
      <c r="H52" s="175"/>
      <c r="I52" s="175"/>
      <c r="J52" s="175"/>
      <c r="K52" s="175"/>
      <c r="M52" s="171"/>
      <c r="N52" s="163" t="s">
        <v>393</v>
      </c>
      <c r="O52" s="164"/>
    </row>
    <row r="53" spans="2:15" x14ac:dyDescent="0.25">
      <c r="B53" s="171" t="s">
        <v>520</v>
      </c>
      <c r="C53" s="172"/>
      <c r="D53" s="172"/>
      <c r="E53" s="173"/>
      <c r="F53" s="174"/>
      <c r="G53" s="175"/>
      <c r="H53" s="175"/>
      <c r="I53" s="175"/>
      <c r="J53" s="175"/>
      <c r="K53" s="175"/>
    </row>
    <row r="54" spans="2:15" x14ac:dyDescent="0.25">
      <c r="B54" s="171" t="s">
        <v>521</v>
      </c>
      <c r="C54" s="172"/>
      <c r="D54" s="172"/>
      <c r="E54" s="173"/>
      <c r="F54" s="174"/>
      <c r="G54" s="175"/>
      <c r="H54" s="175"/>
      <c r="I54" s="175"/>
      <c r="J54" s="175"/>
      <c r="K54" s="175"/>
    </row>
    <row r="55" spans="2:15" x14ac:dyDescent="0.25">
      <c r="B55" s="171" t="s">
        <v>522</v>
      </c>
      <c r="C55" s="172"/>
      <c r="D55" s="172"/>
      <c r="E55" s="173"/>
      <c r="F55" s="174"/>
      <c r="G55" s="175"/>
      <c r="H55" s="175"/>
      <c r="I55" s="175"/>
      <c r="J55" s="175"/>
      <c r="K55" s="175"/>
    </row>
    <row r="56" spans="2:15" x14ac:dyDescent="0.25">
      <c r="B56" s="171" t="s">
        <v>523</v>
      </c>
      <c r="C56" s="172"/>
      <c r="D56" s="172"/>
      <c r="E56" s="173"/>
      <c r="F56" s="174"/>
      <c r="G56" s="175"/>
      <c r="H56" s="175"/>
      <c r="I56" s="175"/>
      <c r="J56" s="175"/>
      <c r="K56" s="175"/>
    </row>
    <row r="57" spans="2:15" x14ac:dyDescent="0.25">
      <c r="B57" s="171" t="s">
        <v>524</v>
      </c>
      <c r="C57" s="172"/>
      <c r="D57" s="172"/>
      <c r="E57" s="173"/>
      <c r="F57" s="174"/>
      <c r="G57" s="175"/>
      <c r="H57" s="175"/>
      <c r="I57" s="175"/>
      <c r="J57" s="175"/>
      <c r="K57" s="175"/>
    </row>
    <row r="58" spans="2:15" x14ac:dyDescent="0.25">
      <c r="B58" s="176" t="s">
        <v>419</v>
      </c>
      <c r="C58" s="173"/>
      <c r="D58" s="173"/>
      <c r="E58" s="173" t="s">
        <v>391</v>
      </c>
      <c r="F58" s="174"/>
      <c r="G58" s="175" t="s">
        <v>474</v>
      </c>
      <c r="H58" s="175"/>
      <c r="I58" s="175"/>
      <c r="J58" s="175"/>
      <c r="K58" s="173"/>
    </row>
    <row r="59" spans="2:15" x14ac:dyDescent="0.25">
      <c r="B59" s="176" t="s">
        <v>420</v>
      </c>
      <c r="C59" s="173"/>
      <c r="D59" s="173"/>
      <c r="E59" s="173" t="s">
        <v>391</v>
      </c>
      <c r="F59" s="174"/>
      <c r="G59" s="175" t="s">
        <v>474</v>
      </c>
      <c r="H59" s="175"/>
      <c r="I59" s="175"/>
      <c r="J59" s="175"/>
      <c r="K59" s="173"/>
    </row>
    <row r="60" spans="2:15" x14ac:dyDescent="0.25">
      <c r="B60" s="176" t="s">
        <v>421</v>
      </c>
      <c r="C60" s="173"/>
      <c r="D60" s="173"/>
      <c r="E60" s="173" t="s">
        <v>391</v>
      </c>
      <c r="F60" s="174"/>
      <c r="G60" s="175" t="s">
        <v>474</v>
      </c>
      <c r="H60" s="175"/>
      <c r="I60" s="175"/>
      <c r="J60" s="175"/>
      <c r="K60" s="173"/>
    </row>
    <row r="61" spans="2:15" x14ac:dyDescent="0.25">
      <c r="B61" s="176" t="s">
        <v>422</v>
      </c>
      <c r="C61" s="173"/>
      <c r="D61" s="173"/>
      <c r="E61" s="173" t="s">
        <v>391</v>
      </c>
      <c r="F61" s="174"/>
      <c r="G61" s="175" t="s">
        <v>474</v>
      </c>
      <c r="H61" s="175"/>
      <c r="I61" s="175"/>
      <c r="J61" s="175"/>
      <c r="K61" s="173"/>
    </row>
    <row r="62" spans="2:15" x14ac:dyDescent="0.25">
      <c r="B62" s="176" t="s">
        <v>423</v>
      </c>
      <c r="C62" s="173"/>
      <c r="D62" s="173"/>
      <c r="E62" s="173" t="s">
        <v>391</v>
      </c>
      <c r="F62" s="174"/>
      <c r="G62" s="175" t="s">
        <v>474</v>
      </c>
      <c r="H62" s="175"/>
      <c r="I62" s="175"/>
      <c r="J62" s="175"/>
      <c r="K62" s="173"/>
    </row>
    <row r="63" spans="2:15" x14ac:dyDescent="0.25">
      <c r="B63" s="171" t="s">
        <v>424</v>
      </c>
      <c r="C63" s="173"/>
      <c r="D63" s="173"/>
      <c r="E63" s="173"/>
      <c r="F63" s="174"/>
      <c r="G63" s="175"/>
      <c r="H63" s="175"/>
      <c r="I63" s="175"/>
      <c r="J63" s="175"/>
      <c r="K63" s="173"/>
    </row>
    <row r="64" spans="2:15" x14ac:dyDescent="0.25">
      <c r="B64" s="171" t="s">
        <v>425</v>
      </c>
      <c r="C64" s="173"/>
      <c r="D64" s="173"/>
      <c r="E64" s="173"/>
      <c r="F64" s="174"/>
      <c r="G64" s="175"/>
      <c r="H64" s="175"/>
      <c r="I64" s="175"/>
      <c r="J64" s="175"/>
      <c r="K64" s="173"/>
    </row>
    <row r="65" spans="2:11" x14ac:dyDescent="0.25">
      <c r="B65" s="171" t="s">
        <v>426</v>
      </c>
      <c r="C65" s="173"/>
      <c r="D65" s="173"/>
      <c r="E65" s="173"/>
      <c r="F65" s="174"/>
      <c r="G65" s="175"/>
      <c r="H65" s="175"/>
      <c r="I65" s="175"/>
      <c r="J65" s="175"/>
      <c r="K65" s="173"/>
    </row>
    <row r="66" spans="2:11" x14ac:dyDescent="0.25">
      <c r="B66" s="171" t="s">
        <v>427</v>
      </c>
      <c r="C66" s="173"/>
      <c r="D66" s="173"/>
      <c r="E66" s="173"/>
      <c r="F66" s="174"/>
      <c r="G66" s="175"/>
      <c r="H66" s="175"/>
      <c r="I66" s="175"/>
      <c r="J66" s="175"/>
      <c r="K66" s="173"/>
    </row>
    <row r="67" spans="2:11" x14ac:dyDescent="0.25">
      <c r="B67" s="171" t="s">
        <v>428</v>
      </c>
      <c r="C67" s="173"/>
      <c r="D67" s="173"/>
      <c r="E67" s="173"/>
      <c r="F67" s="174"/>
      <c r="G67" s="175"/>
      <c r="H67" s="175"/>
      <c r="I67" s="175"/>
      <c r="J67" s="175"/>
      <c r="K67" s="173"/>
    </row>
    <row r="68" spans="2:11" x14ac:dyDescent="0.25">
      <c r="B68" s="171" t="s">
        <v>429</v>
      </c>
      <c r="C68" s="173"/>
      <c r="D68" s="173"/>
      <c r="E68" s="173"/>
      <c r="F68" s="174"/>
      <c r="G68" s="175"/>
      <c r="H68" s="175"/>
      <c r="I68" s="175"/>
      <c r="J68" s="175"/>
      <c r="K68" s="173"/>
    </row>
    <row r="69" spans="2:11" x14ac:dyDescent="0.25">
      <c r="B69" s="171" t="s">
        <v>430</v>
      </c>
      <c r="C69" s="173"/>
      <c r="D69" s="173"/>
      <c r="E69" s="173"/>
      <c r="F69" s="174"/>
      <c r="G69" s="175"/>
      <c r="H69" s="175"/>
      <c r="I69" s="175"/>
      <c r="J69" s="175"/>
      <c r="K69" s="173"/>
    </row>
    <row r="70" spans="2:11" x14ac:dyDescent="0.25">
      <c r="B70" s="171" t="s">
        <v>431</v>
      </c>
      <c r="C70" s="173"/>
      <c r="D70" s="173"/>
      <c r="E70" s="173"/>
      <c r="F70" s="174"/>
      <c r="G70" s="175"/>
      <c r="H70" s="175"/>
      <c r="I70" s="175"/>
      <c r="J70" s="175"/>
      <c r="K70" s="173"/>
    </row>
    <row r="71" spans="2:11" x14ac:dyDescent="0.25">
      <c r="B71" s="171" t="s">
        <v>432</v>
      </c>
      <c r="C71" s="173"/>
      <c r="D71" s="173"/>
      <c r="E71" s="173"/>
      <c r="F71" s="174"/>
      <c r="G71" s="175"/>
      <c r="H71" s="175"/>
      <c r="I71" s="175"/>
      <c r="J71" s="175"/>
      <c r="K71" s="173"/>
    </row>
    <row r="72" spans="2:11" x14ac:dyDescent="0.25">
      <c r="B72" s="171" t="s">
        <v>433</v>
      </c>
      <c r="C72" s="173"/>
      <c r="D72" s="173"/>
      <c r="E72" s="173"/>
      <c r="F72" s="174"/>
      <c r="G72" s="175"/>
      <c r="H72" s="175"/>
      <c r="I72" s="175"/>
      <c r="J72" s="175"/>
      <c r="K72" s="173"/>
    </row>
    <row r="73" spans="2:11" x14ac:dyDescent="0.25">
      <c r="B73" s="171" t="s">
        <v>434</v>
      </c>
      <c r="C73" s="173"/>
      <c r="D73" s="173"/>
      <c r="E73" s="173"/>
      <c r="F73" s="174"/>
      <c r="G73" s="175"/>
      <c r="H73" s="175"/>
      <c r="I73" s="175"/>
      <c r="J73" s="175"/>
      <c r="K73" s="173"/>
    </row>
    <row r="74" spans="2:11" x14ac:dyDescent="0.25">
      <c r="B74" s="171" t="s">
        <v>435</v>
      </c>
      <c r="C74" s="173"/>
      <c r="D74" s="173"/>
      <c r="E74" s="173"/>
      <c r="F74" s="174"/>
      <c r="G74" s="175"/>
      <c r="H74" s="175"/>
      <c r="I74" s="175"/>
      <c r="J74" s="175"/>
      <c r="K74" s="173"/>
    </row>
    <row r="75" spans="2:11" x14ac:dyDescent="0.25">
      <c r="B75" s="171" t="s">
        <v>436</v>
      </c>
      <c r="C75" s="173"/>
      <c r="D75" s="173"/>
      <c r="E75" s="173"/>
      <c r="F75" s="174"/>
      <c r="G75" s="175"/>
      <c r="H75" s="175"/>
      <c r="I75" s="175"/>
      <c r="J75" s="175"/>
      <c r="K75" s="173"/>
    </row>
    <row r="76" spans="2:11" x14ac:dyDescent="0.25">
      <c r="B76" s="171" t="s">
        <v>437</v>
      </c>
      <c r="C76" s="173"/>
      <c r="D76" s="173"/>
      <c r="E76" s="173"/>
      <c r="F76" s="174"/>
      <c r="G76" s="175"/>
      <c r="H76" s="175"/>
      <c r="I76" s="175"/>
      <c r="J76" s="175"/>
      <c r="K76" s="173"/>
    </row>
    <row r="77" spans="2:11" x14ac:dyDescent="0.25">
      <c r="B77" s="171" t="s">
        <v>438</v>
      </c>
      <c r="C77" s="173"/>
      <c r="D77" s="173"/>
      <c r="E77" s="173"/>
      <c r="F77" s="174"/>
      <c r="G77" s="175"/>
      <c r="H77" s="175"/>
      <c r="I77" s="175"/>
      <c r="J77" s="175"/>
      <c r="K77" s="173"/>
    </row>
    <row r="78" spans="2:11" x14ac:dyDescent="0.25">
      <c r="B78" s="171" t="s">
        <v>439</v>
      </c>
      <c r="C78" s="173"/>
      <c r="D78" s="173"/>
      <c r="E78" s="173"/>
      <c r="F78" s="174"/>
      <c r="G78" s="175"/>
      <c r="H78" s="175"/>
      <c r="I78" s="175"/>
      <c r="J78" s="175"/>
      <c r="K78" s="173"/>
    </row>
    <row r="79" spans="2:11" x14ac:dyDescent="0.25">
      <c r="B79" s="171" t="s">
        <v>440</v>
      </c>
      <c r="C79" s="173"/>
      <c r="D79" s="173"/>
      <c r="E79" s="173"/>
      <c r="F79" s="174"/>
      <c r="G79" s="175"/>
      <c r="H79" s="175"/>
      <c r="I79" s="175"/>
      <c r="J79" s="175"/>
      <c r="K79" s="173"/>
    </row>
    <row r="80" spans="2:11" x14ac:dyDescent="0.25">
      <c r="B80" s="171" t="s">
        <v>441</v>
      </c>
      <c r="C80" s="173"/>
      <c r="D80" s="173"/>
      <c r="E80" s="173"/>
      <c r="F80" s="174"/>
      <c r="G80" s="175"/>
      <c r="H80" s="175"/>
      <c r="I80" s="175"/>
      <c r="J80" s="175"/>
      <c r="K80" s="173"/>
    </row>
    <row r="81" spans="2:11" x14ac:dyDescent="0.25">
      <c r="B81" s="171" t="s">
        <v>442</v>
      </c>
      <c r="C81" s="173"/>
      <c r="D81" s="173"/>
      <c r="E81" s="173"/>
      <c r="F81" s="174"/>
      <c r="G81" s="175"/>
      <c r="H81" s="175"/>
      <c r="I81" s="175"/>
      <c r="J81" s="175"/>
      <c r="K81" s="173"/>
    </row>
    <row r="82" spans="2:11" x14ac:dyDescent="0.25">
      <c r="B82" s="171" t="s">
        <v>443</v>
      </c>
      <c r="C82" s="173"/>
      <c r="D82" s="173"/>
      <c r="E82" s="173"/>
      <c r="F82" s="174"/>
      <c r="G82" s="175"/>
      <c r="H82" s="175"/>
      <c r="I82" s="175"/>
      <c r="J82" s="175"/>
      <c r="K82" s="173"/>
    </row>
    <row r="83" spans="2:11" x14ac:dyDescent="0.25">
      <c r="B83" s="171" t="s">
        <v>444</v>
      </c>
      <c r="C83" s="173"/>
      <c r="D83" s="173"/>
      <c r="E83" s="173"/>
      <c r="F83" s="174"/>
      <c r="G83" s="175"/>
      <c r="H83" s="175"/>
      <c r="I83" s="175"/>
      <c r="J83" s="175"/>
      <c r="K83" s="173"/>
    </row>
    <row r="84" spans="2:11" x14ac:dyDescent="0.25">
      <c r="B84" s="171" t="s">
        <v>445</v>
      </c>
      <c r="C84" s="173"/>
      <c r="D84" s="173"/>
      <c r="E84" s="173"/>
      <c r="F84" s="174"/>
      <c r="G84" s="175"/>
      <c r="H84" s="175"/>
      <c r="I84" s="175"/>
      <c r="J84" s="175"/>
      <c r="K84" s="173"/>
    </row>
    <row r="85" spans="2:11" x14ac:dyDescent="0.25">
      <c r="B85" s="171" t="s">
        <v>446</v>
      </c>
      <c r="C85" s="173"/>
      <c r="D85" s="173"/>
      <c r="E85" s="173"/>
      <c r="F85" s="174"/>
      <c r="G85" s="175"/>
      <c r="H85" s="175"/>
      <c r="I85" s="175"/>
      <c r="J85" s="175"/>
      <c r="K85" s="173"/>
    </row>
    <row r="86" spans="2:11" x14ac:dyDescent="0.25">
      <c r="B86" s="171" t="s">
        <v>447</v>
      </c>
      <c r="C86" s="173"/>
      <c r="D86" s="173"/>
      <c r="E86" s="173"/>
      <c r="F86" s="174"/>
      <c r="G86" s="175"/>
      <c r="H86" s="175"/>
      <c r="I86" s="175"/>
      <c r="J86" s="175"/>
      <c r="K86" s="173"/>
    </row>
    <row r="87" spans="2:11" x14ac:dyDescent="0.25">
      <c r="B87" s="171" t="s">
        <v>448</v>
      </c>
      <c r="C87" s="173"/>
      <c r="D87" s="173"/>
      <c r="E87" s="173"/>
      <c r="F87" s="174"/>
      <c r="G87" s="175"/>
      <c r="H87" s="175"/>
      <c r="I87" s="175"/>
      <c r="J87" s="175"/>
      <c r="K87" s="173"/>
    </row>
    <row r="88" spans="2:11" x14ac:dyDescent="0.25">
      <c r="B88" s="171" t="s">
        <v>449</v>
      </c>
      <c r="C88" s="173"/>
      <c r="D88" s="173"/>
      <c r="E88" s="173"/>
      <c r="F88" s="174"/>
      <c r="G88" s="175"/>
      <c r="H88" s="175"/>
      <c r="I88" s="175"/>
      <c r="J88" s="175"/>
      <c r="K88" s="173"/>
    </row>
    <row r="89" spans="2:11" x14ac:dyDescent="0.25">
      <c r="B89" s="171" t="s">
        <v>450</v>
      </c>
      <c r="C89" s="173"/>
      <c r="D89" s="173"/>
      <c r="E89" s="173"/>
      <c r="F89" s="174"/>
      <c r="G89" s="175"/>
      <c r="H89" s="175"/>
      <c r="I89" s="175"/>
      <c r="J89" s="175"/>
      <c r="K89" s="173"/>
    </row>
    <row r="90" spans="2:11" x14ac:dyDescent="0.25">
      <c r="B90" s="171" t="s">
        <v>451</v>
      </c>
      <c r="C90" s="173"/>
      <c r="D90" s="173"/>
      <c r="E90" s="173"/>
      <c r="F90" s="174"/>
      <c r="G90" s="175"/>
      <c r="H90" s="175"/>
      <c r="I90" s="175"/>
      <c r="J90" s="175"/>
      <c r="K90" s="173"/>
    </row>
    <row r="91" spans="2:11" x14ac:dyDescent="0.25">
      <c r="B91" s="171" t="s">
        <v>452</v>
      </c>
      <c r="C91" s="173"/>
      <c r="D91" s="173"/>
      <c r="E91" s="173"/>
      <c r="F91" s="174"/>
      <c r="G91" s="175"/>
      <c r="H91" s="175"/>
      <c r="I91" s="175"/>
      <c r="J91" s="175"/>
      <c r="K91" s="173"/>
    </row>
    <row r="92" spans="2:11" x14ac:dyDescent="0.25">
      <c r="B92" s="171" t="s">
        <v>453</v>
      </c>
      <c r="C92" s="173"/>
      <c r="D92" s="173"/>
      <c r="E92" s="173"/>
      <c r="F92" s="174"/>
      <c r="G92" s="175"/>
      <c r="H92" s="175"/>
      <c r="I92" s="175"/>
      <c r="J92" s="175"/>
      <c r="K92" s="173"/>
    </row>
    <row r="93" spans="2:11" x14ac:dyDescent="0.25">
      <c r="B93" s="171" t="s">
        <v>454</v>
      </c>
      <c r="C93" s="173"/>
      <c r="D93" s="173"/>
      <c r="E93" s="173"/>
      <c r="F93" s="174"/>
      <c r="G93" s="175"/>
      <c r="H93" s="175"/>
      <c r="I93" s="175"/>
      <c r="J93" s="175"/>
      <c r="K93" s="173"/>
    </row>
    <row r="94" spans="2:11" x14ac:dyDescent="0.25">
      <c r="B94" s="171" t="s">
        <v>455</v>
      </c>
      <c r="C94" s="173"/>
      <c r="D94" s="173"/>
      <c r="E94" s="173"/>
      <c r="F94" s="174"/>
      <c r="G94" s="175"/>
      <c r="H94" s="175"/>
      <c r="I94" s="175"/>
      <c r="J94" s="175"/>
      <c r="K94" s="173"/>
    </row>
    <row r="95" spans="2:11" x14ac:dyDescent="0.25">
      <c r="B95" s="171" t="s">
        <v>456</v>
      </c>
      <c r="C95" s="173"/>
      <c r="D95" s="173"/>
      <c r="E95" s="173"/>
      <c r="F95" s="174"/>
      <c r="G95" s="175"/>
      <c r="H95" s="175"/>
      <c r="I95" s="175"/>
      <c r="J95" s="175"/>
      <c r="K95" s="173"/>
    </row>
    <row r="96" spans="2:11" x14ac:dyDescent="0.25">
      <c r="B96" s="171" t="s">
        <v>457</v>
      </c>
      <c r="C96" s="173"/>
      <c r="D96" s="173"/>
      <c r="E96" s="173"/>
      <c r="F96" s="174"/>
      <c r="G96" s="175"/>
      <c r="H96" s="175"/>
      <c r="I96" s="175"/>
      <c r="J96" s="175"/>
      <c r="K96" s="173"/>
    </row>
    <row r="97" spans="2:11" x14ac:dyDescent="0.25">
      <c r="B97" s="171" t="s">
        <v>458</v>
      </c>
      <c r="C97" s="173"/>
      <c r="D97" s="173"/>
      <c r="E97" s="173"/>
      <c r="F97" s="174"/>
      <c r="G97" s="175"/>
      <c r="H97" s="175"/>
      <c r="I97" s="175"/>
      <c r="J97" s="175"/>
      <c r="K97" s="173"/>
    </row>
    <row r="98" spans="2:11" x14ac:dyDescent="0.25">
      <c r="B98" s="171" t="s">
        <v>459</v>
      </c>
      <c r="C98" s="173"/>
      <c r="D98" s="173"/>
      <c r="E98" s="173"/>
      <c r="F98" s="174"/>
      <c r="G98" s="175"/>
      <c r="H98" s="175"/>
      <c r="I98" s="175"/>
      <c r="J98" s="175"/>
      <c r="K98" s="173"/>
    </row>
    <row r="99" spans="2:11" x14ac:dyDescent="0.25">
      <c r="B99" s="171" t="s">
        <v>460</v>
      </c>
      <c r="C99" s="173"/>
      <c r="D99" s="173"/>
      <c r="E99" s="173"/>
      <c r="F99" s="174"/>
      <c r="G99" s="175"/>
      <c r="H99" s="175"/>
      <c r="I99" s="175"/>
      <c r="J99" s="175"/>
      <c r="K99" s="173"/>
    </row>
    <row r="100" spans="2:11" x14ac:dyDescent="0.25">
      <c r="B100" s="171" t="s">
        <v>461</v>
      </c>
      <c r="C100" s="173"/>
      <c r="D100" s="173"/>
      <c r="E100" s="173"/>
      <c r="F100" s="174"/>
      <c r="G100" s="175"/>
      <c r="H100" s="175"/>
      <c r="I100" s="175"/>
      <c r="J100" s="175"/>
      <c r="K100" s="173"/>
    </row>
    <row r="101" spans="2:11" x14ac:dyDescent="0.25">
      <c r="B101" s="171" t="s">
        <v>462</v>
      </c>
      <c r="C101" s="173"/>
      <c r="D101" s="173"/>
      <c r="E101" s="173"/>
      <c r="F101" s="174"/>
      <c r="G101" s="175"/>
      <c r="H101" s="175"/>
      <c r="I101" s="175"/>
      <c r="J101" s="175"/>
      <c r="K101" s="173"/>
    </row>
    <row r="102" spans="2:11" x14ac:dyDescent="0.25">
      <c r="B102" s="171" t="s">
        <v>463</v>
      </c>
      <c r="C102" s="173"/>
      <c r="D102" s="173"/>
      <c r="E102" s="173"/>
      <c r="F102" s="174"/>
      <c r="G102" s="175"/>
      <c r="H102" s="175"/>
      <c r="I102" s="175"/>
      <c r="J102" s="175"/>
      <c r="K102" s="173"/>
    </row>
    <row r="103" spans="2:11" x14ac:dyDescent="0.25">
      <c r="B103" s="171" t="s">
        <v>464</v>
      </c>
      <c r="C103" s="173"/>
      <c r="D103" s="173"/>
      <c r="E103" s="173"/>
      <c r="F103" s="174"/>
      <c r="G103" s="175"/>
      <c r="H103" s="175"/>
      <c r="I103" s="175"/>
      <c r="J103" s="175"/>
      <c r="K103" s="173"/>
    </row>
    <row r="104" spans="2:11" x14ac:dyDescent="0.25">
      <c r="B104" s="171" t="s">
        <v>465</v>
      </c>
      <c r="C104" s="173"/>
      <c r="D104" s="173"/>
      <c r="E104" s="173"/>
      <c r="F104" s="174"/>
      <c r="G104" s="175"/>
      <c r="H104" s="175"/>
      <c r="I104" s="175"/>
      <c r="J104" s="175"/>
      <c r="K104" s="173"/>
    </row>
    <row r="105" spans="2:11" x14ac:dyDescent="0.25">
      <c r="B105" s="171" t="s">
        <v>466</v>
      </c>
      <c r="C105" s="173"/>
      <c r="D105" s="173"/>
      <c r="E105" s="173"/>
      <c r="F105" s="174"/>
      <c r="G105" s="175"/>
      <c r="H105" s="175"/>
      <c r="I105" s="175"/>
      <c r="J105" s="175"/>
      <c r="K105" s="173"/>
    </row>
    <row r="106" spans="2:11" x14ac:dyDescent="0.25">
      <c r="B106" s="171" t="s">
        <v>467</v>
      </c>
      <c r="C106" s="173"/>
      <c r="D106" s="173"/>
      <c r="E106" s="173"/>
      <c r="F106" s="174"/>
      <c r="G106" s="175"/>
      <c r="H106" s="175"/>
      <c r="I106" s="175"/>
      <c r="J106" s="175"/>
      <c r="K106" s="173"/>
    </row>
    <row r="107" spans="2:11" x14ac:dyDescent="0.25">
      <c r="B107" s="171" t="s">
        <v>468</v>
      </c>
      <c r="C107" s="173"/>
      <c r="D107" s="173"/>
      <c r="E107" s="173"/>
      <c r="F107" s="174"/>
      <c r="G107" s="175"/>
      <c r="H107" s="175"/>
      <c r="I107" s="175"/>
      <c r="J107" s="175"/>
      <c r="K107" s="173"/>
    </row>
    <row r="108" spans="2:11" x14ac:dyDescent="0.25">
      <c r="B108" s="171" t="s">
        <v>469</v>
      </c>
      <c r="C108" s="173"/>
      <c r="D108" s="173"/>
      <c r="E108" s="173"/>
      <c r="F108" s="174"/>
      <c r="G108" s="175"/>
      <c r="H108" s="175"/>
      <c r="I108" s="175"/>
      <c r="J108" s="175"/>
      <c r="K108" s="173"/>
    </row>
    <row r="109" spans="2:11" x14ac:dyDescent="0.25">
      <c r="B109" s="171" t="s">
        <v>470</v>
      </c>
      <c r="C109" s="173"/>
      <c r="D109" s="173"/>
      <c r="E109" s="173"/>
      <c r="F109" s="174"/>
      <c r="G109" s="175"/>
      <c r="H109" s="175"/>
      <c r="I109" s="175"/>
      <c r="J109" s="175"/>
      <c r="K109" s="173"/>
    </row>
    <row r="110" spans="2:11" x14ac:dyDescent="0.25">
      <c r="B110" s="171" t="s">
        <v>471</v>
      </c>
      <c r="C110" s="173"/>
      <c r="D110" s="173"/>
      <c r="E110" s="173"/>
      <c r="F110" s="174"/>
      <c r="G110" s="175"/>
      <c r="H110" s="175"/>
      <c r="I110" s="175"/>
      <c r="J110" s="175"/>
      <c r="K110" s="173"/>
    </row>
    <row r="111" spans="2:11" x14ac:dyDescent="0.25">
      <c r="B111" s="171" t="s">
        <v>472</v>
      </c>
      <c r="C111" s="173"/>
      <c r="D111" s="173"/>
      <c r="E111" s="173"/>
      <c r="F111" s="174"/>
      <c r="G111" s="175"/>
      <c r="H111" s="175"/>
      <c r="I111" s="175"/>
      <c r="J111" s="175"/>
      <c r="K111" s="173"/>
    </row>
    <row r="112" spans="2:11" x14ac:dyDescent="0.25">
      <c r="B112" s="171" t="s">
        <v>473</v>
      </c>
      <c r="C112" s="173"/>
      <c r="D112" s="173"/>
      <c r="E112" s="173"/>
      <c r="F112" s="174"/>
      <c r="G112" s="175"/>
      <c r="H112" s="175"/>
      <c r="I112" s="175"/>
      <c r="J112" s="175"/>
      <c r="K112" s="173"/>
    </row>
  </sheetData>
  <sheetProtection selectLockedCells="1"/>
  <mergeCells count="54">
    <mergeCell ref="B1:K1"/>
    <mergeCell ref="C2:K2"/>
    <mergeCell ref="C3:K3"/>
    <mergeCell ref="C4:K4"/>
    <mergeCell ref="C5:K5"/>
    <mergeCell ref="C6:K6"/>
    <mergeCell ref="C7:K7"/>
    <mergeCell ref="C14:K14"/>
    <mergeCell ref="B17:B22"/>
    <mergeCell ref="D34:E34"/>
    <mergeCell ref="C28:K28"/>
    <mergeCell ref="C29:K29"/>
    <mergeCell ref="B31:K31"/>
    <mergeCell ref="B9:K9"/>
    <mergeCell ref="C10:K10"/>
    <mergeCell ref="C11:K11"/>
    <mergeCell ref="C12:K12"/>
    <mergeCell ref="C13:K13"/>
    <mergeCell ref="C21:F21"/>
    <mergeCell ref="C22:F22"/>
    <mergeCell ref="B16:K16"/>
    <mergeCell ref="H37:K44"/>
    <mergeCell ref="B46:K46"/>
    <mergeCell ref="B24:K24"/>
    <mergeCell ref="C25:K25"/>
    <mergeCell ref="C26:K26"/>
    <mergeCell ref="C27:K27"/>
    <mergeCell ref="D35:E35"/>
    <mergeCell ref="D36:E36"/>
    <mergeCell ref="B32:E32"/>
    <mergeCell ref="F32:K32"/>
    <mergeCell ref="F33:K33"/>
    <mergeCell ref="F34:K34"/>
    <mergeCell ref="F35:K35"/>
    <mergeCell ref="F36:K36"/>
    <mergeCell ref="B33:C36"/>
    <mergeCell ref="D33:E33"/>
    <mergeCell ref="C17:F17"/>
    <mergeCell ref="C18:F18"/>
    <mergeCell ref="C19:F19"/>
    <mergeCell ref="C20:F20"/>
    <mergeCell ref="B37:C44"/>
    <mergeCell ref="G22:H22"/>
    <mergeCell ref="I17:K17"/>
    <mergeCell ref="I18:K18"/>
    <mergeCell ref="I19:K19"/>
    <mergeCell ref="I20:K20"/>
    <mergeCell ref="I21:K21"/>
    <mergeCell ref="I22:K22"/>
    <mergeCell ref="G21:H21"/>
    <mergeCell ref="G17:H17"/>
    <mergeCell ref="G18:H18"/>
    <mergeCell ref="G19:H19"/>
    <mergeCell ref="G20:H20"/>
  </mergeCells>
  <conditionalFormatting sqref="C2:C7 C25:C26 C28:C29">
    <cfRule type="containsBlanks" dxfId="11" priority="11">
      <formula>LEN(TRIM(C2))=0</formula>
    </cfRule>
  </conditionalFormatting>
  <conditionalFormatting sqref="C27">
    <cfRule type="containsBlanks" dxfId="10" priority="8">
      <formula>LEN(TRIM(C27))=0</formula>
    </cfRule>
  </conditionalFormatting>
  <conditionalFormatting sqref="C27 C5:C7">
    <cfRule type="containsText" dxfId="9" priority="7" operator="containsText" text="JJ/MM/AAAA">
      <formula>NOT(ISERROR(SEARCH("JJ/MM/AAAA",C5)))</formula>
    </cfRule>
  </conditionalFormatting>
  <conditionalFormatting sqref="C10">
    <cfRule type="containsBlanks" dxfId="8" priority="6">
      <formula>LEN(TRIM(C10))=0</formula>
    </cfRule>
  </conditionalFormatting>
  <conditionalFormatting sqref="C12">
    <cfRule type="containsText" dxfId="7" priority="3" operator="containsText" text="JJ/MM/AAAA">
      <formula>NOT(ISERROR(SEARCH("JJ/MM/AAAA",C12)))</formula>
    </cfRule>
  </conditionalFormatting>
  <conditionalFormatting sqref="I17:K22">
    <cfRule type="cellIs" dxfId="6" priority="2" operator="equal">
      <formula>"JJ/MM/AAAA"</formula>
    </cfRule>
  </conditionalFormatting>
  <conditionalFormatting sqref="C17:F22">
    <cfRule type="containsBlanks" dxfId="5" priority="1">
      <formula>LEN(TRIM(C17))=0</formula>
    </cfRule>
  </conditionalFormatting>
  <dataValidations count="12">
    <dataValidation type="list" allowBlank="1" showInputMessage="1" showErrorMessage="1" sqref="C4">
      <formula1>Genre</formula1>
    </dataValidation>
    <dataValidation type="list" allowBlank="1" showInputMessage="1" showErrorMessage="1" sqref="C25">
      <formula1>Medecins</formula1>
    </dataValidation>
    <dataValidation type="list" allowBlank="1" showInputMessage="1" showErrorMessage="1" sqref="C26">
      <formula1>Operateurs</formula1>
    </dataValidation>
    <dataValidation type="list" allowBlank="1" showInputMessage="1" showErrorMessage="1" sqref="C28">
      <formula1>Motif</formula1>
    </dataValidation>
    <dataValidation type="list" allowBlank="1" showInputMessage="1" showErrorMessage="1" sqref="E37:E44">
      <formula1>EMG_gauche</formula1>
    </dataValidation>
    <dataValidation type="list" allowBlank="1" showInputMessage="1" showErrorMessage="1" sqref="F37:F44">
      <formula1>EMG_droit</formula1>
    </dataValidation>
    <dataValidation type="list" allowBlank="1" showInputMessage="1" showErrorMessage="1" sqref="F32:K32">
      <formula1>Terrain_de_marche</formula1>
    </dataValidation>
    <dataValidation type="list" allowBlank="1" showInputMessage="1" showErrorMessage="1" sqref="F33:K36">
      <formula1>Modele</formula1>
    </dataValidation>
    <dataValidation type="list" allowBlank="1" showInputMessage="1" showErrorMessage="1" sqref="C58:D112">
      <formula1>Plateformes</formula1>
    </dataValidation>
    <dataValidation type="list" allowBlank="1" showInputMessage="1" showErrorMessage="1" sqref="C10">
      <formula1>Pathologie</formula1>
    </dataValidation>
    <dataValidation type="list" allowBlank="1" showInputMessage="1" showErrorMessage="1" sqref="C13:K13">
      <formula1>Type_accident</formula1>
    </dataValidation>
    <dataValidation type="list" allowBlank="1" showInputMessage="1" showErrorMessage="1" sqref="C14:K15">
      <formula1>Cote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Impression1">
                <anchor moveWithCells="1" sizeWithCells="1">
                  <from>
                    <xdr:col>12</xdr:col>
                    <xdr:colOff>7620</xdr:colOff>
                    <xdr:row>1</xdr:row>
                    <xdr:rowOff>0</xdr:rowOff>
                  </from>
                  <to>
                    <xdr:col>14</xdr:col>
                    <xdr:colOff>708660</xdr:colOff>
                    <xdr:row>4</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1:H30"/>
  <sheetViews>
    <sheetView zoomScaleNormal="100" workbookViewId="0">
      <selection activeCell="B27" sqref="B27:H27"/>
    </sheetView>
  </sheetViews>
  <sheetFormatPr baseColWidth="10" defaultRowHeight="13.8" x14ac:dyDescent="0.25"/>
  <cols>
    <col min="1" max="1" width="7" style="1" customWidth="1"/>
    <col min="2" max="2" width="13.109375" style="1" customWidth="1"/>
    <col min="3" max="7" width="11.5546875" style="1"/>
    <col min="8" max="8" width="12.21875" style="1" customWidth="1"/>
    <col min="9" max="16384" width="11.5546875" style="1"/>
  </cols>
  <sheetData>
    <row r="1" spans="2:8" ht="14.4" thickBot="1" x14ac:dyDescent="0.3">
      <c r="B1" s="197" t="s">
        <v>4</v>
      </c>
      <c r="C1" s="198"/>
      <c r="D1" s="198"/>
      <c r="E1" s="198"/>
      <c r="F1" s="198"/>
      <c r="G1" s="198"/>
      <c r="H1" s="199"/>
    </row>
    <row r="2" spans="2:8" x14ac:dyDescent="0.25">
      <c r="B2" s="97" t="s">
        <v>5</v>
      </c>
      <c r="C2" s="238" t="str">
        <f>Protocole!C2</f>
        <v>Moissenet</v>
      </c>
      <c r="D2" s="238"/>
      <c r="E2" s="238"/>
      <c r="F2" s="238"/>
      <c r="G2" s="238"/>
      <c r="H2" s="239"/>
    </row>
    <row r="3" spans="2:8" x14ac:dyDescent="0.25">
      <c r="B3" s="98" t="s">
        <v>6</v>
      </c>
      <c r="C3" s="244" t="str">
        <f>Protocole!C3</f>
        <v>Florent</v>
      </c>
      <c r="D3" s="244"/>
      <c r="E3" s="244"/>
      <c r="F3" s="244"/>
      <c r="G3" s="244"/>
      <c r="H3" s="245"/>
    </row>
    <row r="4" spans="2:8" x14ac:dyDescent="0.25">
      <c r="B4" s="98" t="s">
        <v>7</v>
      </c>
      <c r="C4" s="244" t="str">
        <f>Protocole!C4</f>
        <v>Homme</v>
      </c>
      <c r="D4" s="244"/>
      <c r="E4" s="244"/>
      <c r="F4" s="244"/>
      <c r="G4" s="244"/>
      <c r="H4" s="245"/>
    </row>
    <row r="5" spans="2:8" x14ac:dyDescent="0.25">
      <c r="B5" s="98" t="s">
        <v>14</v>
      </c>
      <c r="C5" s="246">
        <f>INT(_xlfn.DAYS(Protocole!C27,Protocole!C5)/365.25)</f>
        <v>35</v>
      </c>
      <c r="D5" s="246"/>
      <c r="E5" s="246"/>
      <c r="F5" s="246"/>
      <c r="G5" s="246"/>
      <c r="H5" s="247"/>
    </row>
    <row r="6" spans="2:8" ht="14.4" thickBot="1" x14ac:dyDescent="0.3">
      <c r="B6" s="99" t="s">
        <v>17</v>
      </c>
      <c r="C6" s="248" t="str">
        <f>Protocole!C10</f>
        <v>Aucune</v>
      </c>
      <c r="D6" s="248"/>
      <c r="E6" s="248"/>
      <c r="F6" s="248"/>
      <c r="G6" s="248"/>
      <c r="H6" s="249"/>
    </row>
    <row r="7" spans="2:8" ht="10.050000000000001" customHeight="1" thickBot="1" x14ac:dyDescent="0.3">
      <c r="B7" s="100"/>
      <c r="C7" s="100"/>
      <c r="D7" s="100"/>
      <c r="E7" s="100"/>
      <c r="F7" s="100"/>
      <c r="G7" s="100"/>
      <c r="H7" s="100"/>
    </row>
    <row r="8" spans="2:8" ht="14.4" thickBot="1" x14ac:dyDescent="0.3">
      <c r="B8" s="197" t="s">
        <v>9</v>
      </c>
      <c r="C8" s="198"/>
      <c r="D8" s="198"/>
      <c r="E8" s="198"/>
      <c r="F8" s="198"/>
      <c r="G8" s="198"/>
      <c r="H8" s="199"/>
    </row>
    <row r="9" spans="2:8" x14ac:dyDescent="0.25">
      <c r="B9" s="101" t="s">
        <v>1</v>
      </c>
      <c r="C9" s="236" t="str">
        <f>Protocole!C25</f>
        <v>F. Chantraine</v>
      </c>
      <c r="D9" s="236"/>
      <c r="E9" s="236"/>
      <c r="F9" s="236"/>
      <c r="G9" s="236"/>
      <c r="H9" s="237"/>
    </row>
    <row r="10" spans="2:8" x14ac:dyDescent="0.25">
      <c r="B10" s="102" t="s">
        <v>10</v>
      </c>
      <c r="C10" s="238" t="str">
        <f>Protocole!C26</f>
        <v>A. Remacle</v>
      </c>
      <c r="D10" s="238"/>
      <c r="E10" s="238"/>
      <c r="F10" s="238"/>
      <c r="G10" s="238"/>
      <c r="H10" s="239"/>
    </row>
    <row r="11" spans="2:8" x14ac:dyDescent="0.25">
      <c r="B11" s="102" t="s">
        <v>0</v>
      </c>
      <c r="C11" s="240">
        <f>Protocole!C27</f>
        <v>43236</v>
      </c>
      <c r="D11" s="240"/>
      <c r="E11" s="240"/>
      <c r="F11" s="240"/>
      <c r="G11" s="240"/>
      <c r="H11" s="241"/>
    </row>
    <row r="12" spans="2:8" x14ac:dyDescent="0.25">
      <c r="B12" s="102" t="s">
        <v>11</v>
      </c>
      <c r="C12" s="238" t="str">
        <f>Protocole!C28</f>
        <v>Expertise</v>
      </c>
      <c r="D12" s="238"/>
      <c r="E12" s="238"/>
      <c r="F12" s="238"/>
      <c r="G12" s="238"/>
      <c r="H12" s="239"/>
    </row>
    <row r="13" spans="2:8" ht="76.8" customHeight="1" thickBot="1" x14ac:dyDescent="0.3">
      <c r="B13" s="103" t="s">
        <v>25</v>
      </c>
      <c r="C13" s="242" t="str">
        <f>Protocole!C29</f>
        <v>Test fiche</v>
      </c>
      <c r="D13" s="242"/>
      <c r="E13" s="242"/>
      <c r="F13" s="242"/>
      <c r="G13" s="242"/>
      <c r="H13" s="243"/>
    </row>
    <row r="14" spans="2:8" ht="10.050000000000001" customHeight="1" thickBot="1" x14ac:dyDescent="0.3">
      <c r="B14" s="100"/>
      <c r="C14" s="100"/>
      <c r="D14" s="100"/>
      <c r="E14" s="100"/>
      <c r="F14" s="100"/>
      <c r="G14" s="100"/>
      <c r="H14" s="100"/>
    </row>
    <row r="15" spans="2:8" ht="14.4" thickBot="1" x14ac:dyDescent="0.3">
      <c r="B15" s="197" t="s">
        <v>12</v>
      </c>
      <c r="C15" s="198"/>
      <c r="D15" s="198"/>
      <c r="E15" s="198"/>
      <c r="F15" s="198"/>
      <c r="G15" s="198"/>
      <c r="H15" s="199"/>
    </row>
    <row r="16" spans="2:8" ht="7.95" customHeight="1" x14ac:dyDescent="0.25">
      <c r="B16" s="250"/>
      <c r="C16" s="250"/>
      <c r="D16" s="250"/>
      <c r="E16" s="250"/>
      <c r="F16" s="250"/>
      <c r="G16" s="250"/>
      <c r="H16" s="250"/>
    </row>
    <row r="17" spans="2:8" x14ac:dyDescent="0.25">
      <c r="B17" s="235" t="s">
        <v>13</v>
      </c>
      <c r="C17" s="235"/>
      <c r="D17" s="235"/>
      <c r="E17" s="235"/>
      <c r="F17" s="235"/>
      <c r="G17" s="235"/>
      <c r="H17" s="235"/>
    </row>
    <row r="18" spans="2:8" x14ac:dyDescent="0.25">
      <c r="B18" s="252" t="s">
        <v>39</v>
      </c>
      <c r="C18" s="253"/>
      <c r="D18" s="253"/>
      <c r="E18" s="253"/>
      <c r="F18" s="254"/>
      <c r="G18" s="104" t="s">
        <v>15</v>
      </c>
      <c r="H18" s="104" t="s">
        <v>43</v>
      </c>
    </row>
    <row r="19" spans="2:8" x14ac:dyDescent="0.25">
      <c r="B19" s="255" t="str">
        <f>'Evidence (0)'!C3</f>
        <v>NA</v>
      </c>
      <c r="C19" s="256"/>
      <c r="D19" s="256"/>
      <c r="E19" s="256"/>
      <c r="F19" s="257"/>
      <c r="G19" s="105">
        <f>'Evidence (0)'!F3</f>
        <v>0</v>
      </c>
      <c r="H19" s="105">
        <f>'Evidence (0)'!H3</f>
        <v>0</v>
      </c>
    </row>
    <row r="20" spans="2:8" x14ac:dyDescent="0.25">
      <c r="B20" s="255" t="str">
        <f>'Evidence (0)'!C28</f>
        <v>NA</v>
      </c>
      <c r="C20" s="256"/>
      <c r="D20" s="256"/>
      <c r="E20" s="256"/>
      <c r="F20" s="257"/>
      <c r="G20" s="105">
        <f>'Evidence (0)'!F28</f>
        <v>0</v>
      </c>
      <c r="H20" s="105">
        <f>'Evidence (0)'!H28</f>
        <v>0</v>
      </c>
    </row>
    <row r="21" spans="2:8" x14ac:dyDescent="0.25">
      <c r="B21" s="255" t="str">
        <f>'Evidence (1)'!C3</f>
        <v>NA</v>
      </c>
      <c r="C21" s="256"/>
      <c r="D21" s="256"/>
      <c r="E21" s="256"/>
      <c r="F21" s="257"/>
      <c r="G21" s="105">
        <f>'Evidence (1)'!F3</f>
        <v>0</v>
      </c>
      <c r="H21" s="105">
        <f>'Evidence (1)'!H3</f>
        <v>0</v>
      </c>
    </row>
    <row r="22" spans="2:8" x14ac:dyDescent="0.25">
      <c r="B22" s="255" t="str">
        <f>'Evidence (1)'!C28</f>
        <v>NA</v>
      </c>
      <c r="C22" s="256"/>
      <c r="D22" s="256"/>
      <c r="E22" s="256"/>
      <c r="F22" s="257"/>
      <c r="G22" s="105">
        <v>0</v>
      </c>
      <c r="H22" s="105">
        <v>0</v>
      </c>
    </row>
    <row r="23" spans="2:8" x14ac:dyDescent="0.25">
      <c r="B23" s="255" t="str">
        <f>'Evidence (2)'!C3</f>
        <v>NA</v>
      </c>
      <c r="C23" s="256"/>
      <c r="D23" s="256"/>
      <c r="E23" s="256"/>
      <c r="F23" s="257"/>
      <c r="G23" s="105">
        <f>'Evidence (2)'!F3</f>
        <v>0</v>
      </c>
      <c r="H23" s="105">
        <f>'Evidence (2)'!H3</f>
        <v>0</v>
      </c>
    </row>
    <row r="24" spans="2:8" x14ac:dyDescent="0.25">
      <c r="B24" s="255" t="str">
        <f>'Evidence (2)'!C28</f>
        <v>NA</v>
      </c>
      <c r="C24" s="256"/>
      <c r="D24" s="256"/>
      <c r="E24" s="256"/>
      <c r="F24" s="257"/>
      <c r="G24" s="105">
        <f>'Evidence (2)'!F28</f>
        <v>0</v>
      </c>
      <c r="H24" s="105">
        <f>'Evidence (2)'!H28</f>
        <v>0</v>
      </c>
    </row>
    <row r="25" spans="2:8" ht="7.95" customHeight="1" x14ac:dyDescent="0.25">
      <c r="B25" s="259"/>
      <c r="C25" s="259"/>
      <c r="D25" s="259"/>
      <c r="E25" s="259"/>
      <c r="F25" s="259"/>
      <c r="G25" s="259"/>
      <c r="H25" s="259"/>
    </row>
    <row r="26" spans="2:8" x14ac:dyDescent="0.25">
      <c r="B26" s="190" t="s">
        <v>23</v>
      </c>
      <c r="C26" s="190"/>
      <c r="D26" s="190"/>
      <c r="E26" s="190"/>
      <c r="F26" s="190"/>
      <c r="G26" s="190"/>
      <c r="H26" s="190"/>
    </row>
    <row r="27" spans="2:8" ht="169.8" customHeight="1" x14ac:dyDescent="0.25">
      <c r="B27" s="258"/>
      <c r="C27" s="258"/>
      <c r="D27" s="258"/>
      <c r="E27" s="258"/>
      <c r="F27" s="258"/>
      <c r="G27" s="258"/>
      <c r="H27" s="258"/>
    </row>
    <row r="28" spans="2:8" ht="10.050000000000001" customHeight="1" x14ac:dyDescent="0.25"/>
    <row r="29" spans="2:8" x14ac:dyDescent="0.25">
      <c r="B29" s="6" t="s">
        <v>24</v>
      </c>
      <c r="C29" s="7"/>
      <c r="D29" s="7"/>
      <c r="E29" s="7"/>
      <c r="F29" s="7"/>
      <c r="G29" s="7"/>
      <c r="H29" s="7"/>
    </row>
    <row r="30" spans="2:8" ht="82.8" customHeight="1" x14ac:dyDescent="0.25">
      <c r="B30" s="251" t="s">
        <v>408</v>
      </c>
      <c r="C30" s="251"/>
      <c r="D30" s="251"/>
      <c r="E30" s="251"/>
      <c r="F30" s="251"/>
      <c r="G30" s="251"/>
      <c r="H30" s="251"/>
    </row>
  </sheetData>
  <sheetProtection algorithmName="SHA-512" hashValue="HuDVyyV0T0nt/mnHALa6pyrR+KRgbieHvf/u62GkUKTBEEIukuSWMQtvNip8uyrlSkF6LhX4EnXz+lINxUUFEQ==" saltValue="guZtCfvBUktPCRQFym3p0A==" spinCount="100000" sheet="1" objects="1" scenarios="1" selectLockedCells="1"/>
  <mergeCells count="26">
    <mergeCell ref="B30:H30"/>
    <mergeCell ref="B18:F18"/>
    <mergeCell ref="B19:F19"/>
    <mergeCell ref="B20:F20"/>
    <mergeCell ref="B21:F21"/>
    <mergeCell ref="B22:F22"/>
    <mergeCell ref="B23:F23"/>
    <mergeCell ref="B24:F24"/>
    <mergeCell ref="B26:H26"/>
    <mergeCell ref="B27:H27"/>
    <mergeCell ref="B25:H25"/>
    <mergeCell ref="B1:H1"/>
    <mergeCell ref="B8:H8"/>
    <mergeCell ref="B17:H17"/>
    <mergeCell ref="C9:H9"/>
    <mergeCell ref="C10:H10"/>
    <mergeCell ref="C11:H11"/>
    <mergeCell ref="C12:H12"/>
    <mergeCell ref="C13:H13"/>
    <mergeCell ref="C2:H2"/>
    <mergeCell ref="C3:H3"/>
    <mergeCell ref="C4:H4"/>
    <mergeCell ref="C5:H5"/>
    <mergeCell ref="C6:H6"/>
    <mergeCell ref="B15:H15"/>
    <mergeCell ref="B16:H16"/>
  </mergeCells>
  <conditionalFormatting sqref="B19:H24">
    <cfRule type="containsBlanks" dxfId="4" priority="5">
      <formula>LEN(TRIM(B19))=0</formula>
    </cfRule>
  </conditionalFormatting>
  <conditionalFormatting sqref="B27:H27">
    <cfRule type="containsBlanks" dxfId="3" priority="4">
      <formula>LEN(TRIM(B27))=0</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B1:H27"/>
  <sheetViews>
    <sheetView zoomScaleNormal="100" workbookViewId="0">
      <selection activeCell="I10" sqref="I10"/>
    </sheetView>
  </sheetViews>
  <sheetFormatPr baseColWidth="10" defaultRowHeight="13.8" x14ac:dyDescent="0.25"/>
  <cols>
    <col min="1" max="1" width="7" style="1" customWidth="1"/>
    <col min="2" max="2" width="18.33203125" style="1" customWidth="1"/>
    <col min="3" max="3" width="8.109375" style="1" customWidth="1"/>
    <col min="4" max="4" width="7.44140625" style="1" customWidth="1"/>
    <col min="5" max="5" width="11.5546875" style="1"/>
    <col min="6" max="6" width="16.33203125" style="1" customWidth="1"/>
    <col min="7" max="7" width="7.21875" style="1" customWidth="1"/>
    <col min="8" max="8" width="13.88671875" style="1" customWidth="1"/>
    <col min="9" max="16384" width="11.5546875" style="1"/>
  </cols>
  <sheetData>
    <row r="1" spans="2:8" ht="14.4" thickBot="1" x14ac:dyDescent="0.3">
      <c r="B1" s="264" t="s">
        <v>3</v>
      </c>
      <c r="C1" s="265"/>
      <c r="D1" s="265"/>
      <c r="E1" s="265"/>
      <c r="F1" s="265"/>
      <c r="G1" s="265"/>
      <c r="H1" s="266"/>
    </row>
    <row r="2" spans="2:8" ht="7.95" customHeight="1" x14ac:dyDescent="0.25">
      <c r="B2" s="10"/>
      <c r="C2" s="11"/>
      <c r="D2" s="11"/>
      <c r="E2" s="11"/>
      <c r="F2" s="11"/>
      <c r="G2" s="11"/>
      <c r="H2" s="11"/>
    </row>
    <row r="3" spans="2:8" ht="98.4" customHeight="1" x14ac:dyDescent="0.25">
      <c r="B3" s="8" t="s">
        <v>66</v>
      </c>
      <c r="C3" s="258"/>
      <c r="D3" s="258"/>
      <c r="E3" s="258"/>
      <c r="F3" s="258"/>
      <c r="G3" s="258"/>
      <c r="H3" s="258"/>
    </row>
    <row r="4" spans="2:8" ht="13.8" customHeight="1" x14ac:dyDescent="0.25">
      <c r="B4" s="271" t="s">
        <v>27</v>
      </c>
      <c r="C4" s="274" t="str">
        <f>Protocole!C17</f>
        <v>test traitement 1</v>
      </c>
      <c r="D4" s="275"/>
      <c r="E4" s="275"/>
      <c r="F4" s="276"/>
      <c r="G4" s="106" t="s">
        <v>28</v>
      </c>
      <c r="H4" s="177">
        <f>Protocole!I17</f>
        <v>30404</v>
      </c>
    </row>
    <row r="5" spans="2:8" x14ac:dyDescent="0.25">
      <c r="B5" s="272"/>
      <c r="C5" s="274" t="str">
        <f>Protocole!C18</f>
        <v>NA</v>
      </c>
      <c r="D5" s="275"/>
      <c r="E5" s="275"/>
      <c r="F5" s="276"/>
      <c r="G5" s="106" t="s">
        <v>28</v>
      </c>
      <c r="H5" s="177">
        <f>Protocole!I18</f>
        <v>0</v>
      </c>
    </row>
    <row r="6" spans="2:8" x14ac:dyDescent="0.25">
      <c r="B6" s="272"/>
      <c r="C6" s="274" t="str">
        <f>Protocole!C19</f>
        <v>NA</v>
      </c>
      <c r="D6" s="275"/>
      <c r="E6" s="275"/>
      <c r="F6" s="276"/>
      <c r="G6" s="106" t="s">
        <v>28</v>
      </c>
      <c r="H6" s="177">
        <f>Protocole!I19</f>
        <v>0</v>
      </c>
    </row>
    <row r="7" spans="2:8" x14ac:dyDescent="0.25">
      <c r="B7" s="272"/>
      <c r="C7" s="274" t="str">
        <f>Protocole!C20</f>
        <v>NA</v>
      </c>
      <c r="D7" s="275"/>
      <c r="E7" s="275"/>
      <c r="F7" s="276"/>
      <c r="G7" s="106" t="s">
        <v>28</v>
      </c>
      <c r="H7" s="177">
        <f>Protocole!I20</f>
        <v>0</v>
      </c>
    </row>
    <row r="8" spans="2:8" x14ac:dyDescent="0.25">
      <c r="B8" s="272"/>
      <c r="C8" s="274" t="str">
        <f>Protocole!C21</f>
        <v>NA</v>
      </c>
      <c r="D8" s="275"/>
      <c r="E8" s="275"/>
      <c r="F8" s="276"/>
      <c r="G8" s="106" t="s">
        <v>28</v>
      </c>
      <c r="H8" s="177">
        <f>Protocole!I21</f>
        <v>0</v>
      </c>
    </row>
    <row r="9" spans="2:8" x14ac:dyDescent="0.25">
      <c r="B9" s="273"/>
      <c r="C9" s="274" t="str">
        <f>Protocole!C22</f>
        <v>test traitement 5</v>
      </c>
      <c r="D9" s="275"/>
      <c r="E9" s="275"/>
      <c r="F9" s="276"/>
      <c r="G9" s="106" t="s">
        <v>28</v>
      </c>
      <c r="H9" s="177">
        <f>Protocole!I22</f>
        <v>43188</v>
      </c>
    </row>
    <row r="10" spans="2:8" ht="7.95" customHeight="1" x14ac:dyDescent="0.25"/>
    <row r="11" spans="2:8" x14ac:dyDescent="0.25">
      <c r="B11" s="9" t="s">
        <v>31</v>
      </c>
      <c r="C11" s="268">
        <f>Protocole!C7</f>
        <v>166</v>
      </c>
      <c r="D11" s="268"/>
      <c r="E11" s="267" t="s">
        <v>61</v>
      </c>
      <c r="F11" s="267"/>
      <c r="G11" s="263"/>
      <c r="H11" s="263"/>
    </row>
    <row r="12" spans="2:8" x14ac:dyDescent="0.25">
      <c r="B12" s="9" t="s">
        <v>32</v>
      </c>
      <c r="C12" s="268">
        <f>Protocole!C6</f>
        <v>66</v>
      </c>
      <c r="D12" s="268"/>
      <c r="E12" s="269" t="s">
        <v>62</v>
      </c>
      <c r="F12" s="270"/>
      <c r="G12" s="263"/>
      <c r="H12" s="263"/>
    </row>
    <row r="13" spans="2:8" x14ac:dyDescent="0.25">
      <c r="B13" s="9" t="s">
        <v>369</v>
      </c>
      <c r="C13" s="268">
        <f>C12/(C11/100*C11/100)</f>
        <v>23.951226593119468</v>
      </c>
      <c r="D13" s="268"/>
      <c r="E13" s="267" t="s">
        <v>29</v>
      </c>
      <c r="F13" s="267"/>
      <c r="G13" s="263"/>
      <c r="H13" s="263"/>
    </row>
    <row r="14" spans="2:8" x14ac:dyDescent="0.25">
      <c r="B14" s="5" t="s">
        <v>33</v>
      </c>
      <c r="C14" s="188"/>
      <c r="D14" s="188"/>
      <c r="E14" s="4" t="s">
        <v>30</v>
      </c>
      <c r="F14" s="4"/>
      <c r="G14" s="263"/>
      <c r="H14" s="263"/>
    </row>
    <row r="15" spans="2:8" ht="7.95" customHeight="1" x14ac:dyDescent="0.25"/>
    <row r="16" spans="2:8" ht="124.8" customHeight="1" x14ac:dyDescent="0.25">
      <c r="B16" s="8" t="s">
        <v>34</v>
      </c>
      <c r="C16" s="258"/>
      <c r="D16" s="258"/>
      <c r="E16" s="258"/>
      <c r="F16" s="258"/>
      <c r="G16" s="258"/>
      <c r="H16" s="258"/>
    </row>
    <row r="17" spans="2:8" ht="14.4" thickBot="1" x14ac:dyDescent="0.3"/>
    <row r="18" spans="2:8" ht="15" customHeight="1" thickBot="1" x14ac:dyDescent="0.3">
      <c r="B18" s="264" t="s">
        <v>35</v>
      </c>
      <c r="C18" s="265"/>
      <c r="D18" s="265"/>
      <c r="E18" s="265"/>
      <c r="F18" s="265"/>
      <c r="G18" s="265"/>
      <c r="H18" s="266"/>
    </row>
    <row r="19" spans="2:8" ht="7.95" customHeight="1" x14ac:dyDescent="0.25">
      <c r="B19" s="10"/>
      <c r="C19" s="11"/>
      <c r="D19" s="11"/>
      <c r="E19" s="11"/>
      <c r="F19" s="11"/>
      <c r="G19" s="11"/>
      <c r="H19" s="11"/>
    </row>
    <row r="20" spans="2:8" ht="30" customHeight="1" x14ac:dyDescent="0.25">
      <c r="B20" s="260" t="s">
        <v>36</v>
      </c>
      <c r="C20" s="261"/>
      <c r="D20" s="261"/>
      <c r="E20" s="261"/>
      <c r="F20" s="261"/>
      <c r="G20" s="261"/>
      <c r="H20" s="262"/>
    </row>
    <row r="21" spans="2:8" ht="45" customHeight="1" x14ac:dyDescent="0.25">
      <c r="B21" s="188"/>
      <c r="C21" s="188"/>
      <c r="D21" s="188"/>
      <c r="E21" s="188"/>
      <c r="F21" s="188"/>
      <c r="G21" s="188"/>
      <c r="H21" s="188"/>
    </row>
    <row r="22" spans="2:8" ht="7.95" customHeight="1" x14ac:dyDescent="0.25"/>
    <row r="23" spans="2:8" ht="30" customHeight="1" x14ac:dyDescent="0.25">
      <c r="B23" s="260" t="s">
        <v>37</v>
      </c>
      <c r="C23" s="261"/>
      <c r="D23" s="261"/>
      <c r="E23" s="261"/>
      <c r="F23" s="261"/>
      <c r="G23" s="261"/>
      <c r="H23" s="262"/>
    </row>
    <row r="24" spans="2:8" ht="45" customHeight="1" x14ac:dyDescent="0.25">
      <c r="B24" s="188"/>
      <c r="C24" s="188"/>
      <c r="D24" s="188"/>
      <c r="E24" s="188"/>
      <c r="F24" s="188"/>
      <c r="G24" s="188"/>
      <c r="H24" s="188"/>
    </row>
    <row r="25" spans="2:8" ht="7.95" customHeight="1" x14ac:dyDescent="0.25"/>
    <row r="26" spans="2:8" ht="30" customHeight="1" x14ac:dyDescent="0.25">
      <c r="B26" s="260" t="s">
        <v>38</v>
      </c>
      <c r="C26" s="261"/>
      <c r="D26" s="261"/>
      <c r="E26" s="261"/>
      <c r="F26" s="261"/>
      <c r="G26" s="261"/>
      <c r="H26" s="262"/>
    </row>
    <row r="27" spans="2:8" ht="45" customHeight="1" x14ac:dyDescent="0.25">
      <c r="B27" s="188"/>
      <c r="C27" s="188"/>
      <c r="D27" s="188"/>
      <c r="E27" s="188"/>
      <c r="F27" s="188"/>
      <c r="G27" s="188"/>
      <c r="H27" s="188"/>
    </row>
  </sheetData>
  <sheetProtection selectLockedCells="1"/>
  <mergeCells count="28">
    <mergeCell ref="B1:H1"/>
    <mergeCell ref="C3:H3"/>
    <mergeCell ref="C7:F7"/>
    <mergeCell ref="C8:F8"/>
    <mergeCell ref="C9:F9"/>
    <mergeCell ref="C12:D12"/>
    <mergeCell ref="C13:D13"/>
    <mergeCell ref="E12:F12"/>
    <mergeCell ref="B4:B9"/>
    <mergeCell ref="C4:F4"/>
    <mergeCell ref="C5:F5"/>
    <mergeCell ref="C6:F6"/>
    <mergeCell ref="B26:H26"/>
    <mergeCell ref="B27:H27"/>
    <mergeCell ref="B24:H24"/>
    <mergeCell ref="G11:H11"/>
    <mergeCell ref="G12:H12"/>
    <mergeCell ref="G13:H13"/>
    <mergeCell ref="G14:H14"/>
    <mergeCell ref="B21:H21"/>
    <mergeCell ref="B23:H23"/>
    <mergeCell ref="B18:H18"/>
    <mergeCell ref="C14:D14"/>
    <mergeCell ref="C16:H16"/>
    <mergeCell ref="B20:H20"/>
    <mergeCell ref="E11:F11"/>
    <mergeCell ref="E13:F13"/>
    <mergeCell ref="C11:D11"/>
  </mergeCells>
  <conditionalFormatting sqref="C3:H3">
    <cfRule type="containsBlanks" dxfId="2" priority="5">
      <formula>LEN(TRIM(C3))=0</formula>
    </cfRule>
  </conditionalFormatting>
  <conditionalFormatting sqref="C11:D14 C16:H16 B21:H21 B24:H24 B27:H27 C4:F9 H4:H9">
    <cfRule type="containsBlanks" dxfId="1" priority="4">
      <formula>LEN(TRIM(B4))=0</formula>
    </cfRule>
  </conditionalFormatting>
  <conditionalFormatting sqref="H4:H9">
    <cfRule type="cellIs" dxfId="0" priority="3" operator="equal">
      <formula>"AAAA/MM/JJ"</formula>
    </cfRule>
  </conditionalFormatting>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listes!$C$2:$C$8</xm:f>
          </x14:formula1>
          <xm:sqref>C14:D14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dimension ref="B1:H51"/>
  <sheetViews>
    <sheetView zoomScale="85" zoomScaleNormal="85" workbookViewId="0">
      <selection activeCell="I15" sqref="I15"/>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404</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404</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algorithmName="SHA-512" hashValue="wy+NGshJ6ORJgg2T17jF/RfKOkQKAK9QsyThG2CCiXb00Xpo8OBU3rttEDiUEo6lTVpvCRVTBIn7ZQaIoDnRUw==" saltValue="zNdopzOV1cXtFK0/1DBfGw==" spinCount="100000" sheet="1" objects="1" scenarios="1" insertColumns="0" insertRows="0" deleteColumns="0" deleteRows="0"/>
  <mergeCells count="59">
    <mergeCell ref="C50:E50"/>
    <mergeCell ref="F50:H50"/>
    <mergeCell ref="B42:H42"/>
    <mergeCell ref="F43:H43"/>
    <mergeCell ref="F44:H44"/>
    <mergeCell ref="F45:H45"/>
    <mergeCell ref="F46:H46"/>
    <mergeCell ref="B48:H48"/>
    <mergeCell ref="C49:E49"/>
    <mergeCell ref="F49:H49"/>
    <mergeCell ref="C38:E38"/>
    <mergeCell ref="F38:H38"/>
    <mergeCell ref="C39:E39"/>
    <mergeCell ref="F39:H39"/>
    <mergeCell ref="C40:E40"/>
    <mergeCell ref="F40:H40"/>
    <mergeCell ref="C37:E37"/>
    <mergeCell ref="F37:H37"/>
    <mergeCell ref="B30:H30"/>
    <mergeCell ref="C31:E31"/>
    <mergeCell ref="F31:H31"/>
    <mergeCell ref="C32:E32"/>
    <mergeCell ref="F32:H32"/>
    <mergeCell ref="C33:E33"/>
    <mergeCell ref="F33:H33"/>
    <mergeCell ref="C34:E34"/>
    <mergeCell ref="F34:H34"/>
    <mergeCell ref="B36:H36"/>
    <mergeCell ref="C24:E24"/>
    <mergeCell ref="F24:H24"/>
    <mergeCell ref="B23:H23"/>
    <mergeCell ref="B1:H1"/>
    <mergeCell ref="F21:H21"/>
    <mergeCell ref="F18:H18"/>
    <mergeCell ref="F19:H19"/>
    <mergeCell ref="F20:H20"/>
    <mergeCell ref="F13:H13"/>
    <mergeCell ref="C14:E14"/>
    <mergeCell ref="C9:E9"/>
    <mergeCell ref="F9:H9"/>
    <mergeCell ref="C8:E8"/>
    <mergeCell ref="F8:H8"/>
    <mergeCell ref="D3:E3"/>
    <mergeCell ref="D28:E28"/>
    <mergeCell ref="B5:H5"/>
    <mergeCell ref="C6:E6"/>
    <mergeCell ref="F6:H6"/>
    <mergeCell ref="C7:E7"/>
    <mergeCell ref="F7:H7"/>
    <mergeCell ref="B17:H17"/>
    <mergeCell ref="B11:H11"/>
    <mergeCell ref="C12:E12"/>
    <mergeCell ref="F12:H12"/>
    <mergeCell ref="C13:E13"/>
    <mergeCell ref="F14:H14"/>
    <mergeCell ref="C15:E15"/>
    <mergeCell ref="F15:H15"/>
    <mergeCell ref="F25:H25"/>
    <mergeCell ref="C25:E25"/>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B1:H51"/>
  <sheetViews>
    <sheetView zoomScale="85" zoomScaleNormal="85" workbookViewId="0">
      <selection activeCell="L21" sqref="L21"/>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404</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404</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listes!$B$2:$B$4</xm:f>
          </x14:formula1>
          <xm:sqref>H3 H28</xm:sqref>
        </x14:dataValidation>
        <x14:dataValidation type="list" allowBlank="1" showInputMessage="1" showErrorMessage="1">
          <x14:formula1>
            <xm:f>listes!$A$2:$A$4</xm:f>
          </x14:formula1>
          <xm:sqref>F3 F28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B1:H51"/>
  <sheetViews>
    <sheetView zoomScale="85" zoomScaleNormal="85" workbookViewId="0">
      <selection activeCell="L13" sqref="L13"/>
    </sheetView>
  </sheetViews>
  <sheetFormatPr baseColWidth="10" defaultRowHeight="13.8" x14ac:dyDescent="0.25"/>
  <cols>
    <col min="1" max="1" width="7" style="100" customWidth="1"/>
    <col min="2" max="2" width="11.5546875" style="100" customWidth="1"/>
    <col min="3" max="3" width="21.33203125" style="100" customWidth="1"/>
    <col min="4" max="5" width="7.77734375" style="100" customWidth="1"/>
    <col min="6" max="8" width="11.5546875" style="100" customWidth="1"/>
    <col min="9" max="16384" width="11.5546875" style="100"/>
  </cols>
  <sheetData>
    <row r="1" spans="2:8" ht="14.4" thickBot="1" x14ac:dyDescent="0.3">
      <c r="B1" s="197" t="s">
        <v>15</v>
      </c>
      <c r="C1" s="198"/>
      <c r="D1" s="198"/>
      <c r="E1" s="198"/>
      <c r="F1" s="198"/>
      <c r="G1" s="198"/>
      <c r="H1" s="199"/>
    </row>
    <row r="2" spans="2:8" ht="7.95" customHeight="1" thickBot="1" x14ac:dyDescent="0.3">
      <c r="B2" s="124"/>
      <c r="C2" s="125"/>
      <c r="D2" s="125"/>
      <c r="E2" s="125"/>
      <c r="F2" s="126"/>
      <c r="G2" s="125"/>
      <c r="H2" s="125"/>
    </row>
    <row r="3" spans="2:8" ht="13.8" customHeight="1" x14ac:dyDescent="0.25">
      <c r="B3" s="127" t="s">
        <v>40</v>
      </c>
      <c r="C3" s="121" t="s">
        <v>60</v>
      </c>
      <c r="D3" s="277" t="s">
        <v>41</v>
      </c>
      <c r="E3" s="278"/>
      <c r="F3" s="122"/>
      <c r="G3" s="128" t="s">
        <v>42</v>
      </c>
      <c r="H3" s="123"/>
    </row>
    <row r="4" spans="2:8" ht="7.95" customHeight="1" x14ac:dyDescent="0.25">
      <c r="B4" s="129"/>
      <c r="C4" s="130"/>
      <c r="D4" s="130"/>
      <c r="E4" s="130"/>
      <c r="F4" s="130"/>
      <c r="G4" s="130"/>
      <c r="H4" s="131"/>
    </row>
    <row r="5" spans="2:8" x14ac:dyDescent="0.25">
      <c r="B5" s="279" t="s">
        <v>47</v>
      </c>
      <c r="C5" s="280"/>
      <c r="D5" s="280"/>
      <c r="E5" s="280"/>
      <c r="F5" s="280"/>
      <c r="G5" s="280"/>
      <c r="H5" s="281"/>
    </row>
    <row r="6" spans="2:8" ht="14.4" x14ac:dyDescent="0.3">
      <c r="B6" s="132" t="s">
        <v>44</v>
      </c>
      <c r="C6" s="282" t="s">
        <v>45</v>
      </c>
      <c r="D6" s="282"/>
      <c r="E6" s="282"/>
      <c r="F6" s="282" t="s">
        <v>8</v>
      </c>
      <c r="G6" s="282"/>
      <c r="H6" s="283"/>
    </row>
    <row r="7" spans="2:8" x14ac:dyDescent="0.25">
      <c r="B7" s="139"/>
      <c r="C7" s="258"/>
      <c r="D7" s="258"/>
      <c r="E7" s="258"/>
      <c r="F7" s="258"/>
      <c r="G7" s="258"/>
      <c r="H7" s="284"/>
    </row>
    <row r="8" spans="2:8" x14ac:dyDescent="0.25">
      <c r="B8" s="139"/>
      <c r="C8" s="258"/>
      <c r="D8" s="258"/>
      <c r="E8" s="258"/>
      <c r="F8" s="258"/>
      <c r="G8" s="258"/>
      <c r="H8" s="284"/>
    </row>
    <row r="9" spans="2:8" x14ac:dyDescent="0.25">
      <c r="B9" s="139"/>
      <c r="C9" s="258"/>
      <c r="D9" s="258"/>
      <c r="E9" s="258"/>
      <c r="F9" s="258"/>
      <c r="G9" s="258"/>
      <c r="H9" s="284"/>
    </row>
    <row r="10" spans="2:8" ht="7.95" customHeight="1" x14ac:dyDescent="0.25">
      <c r="B10" s="129"/>
      <c r="C10" s="130"/>
      <c r="D10" s="130"/>
      <c r="E10" s="130"/>
      <c r="F10" s="130"/>
      <c r="G10" s="130"/>
      <c r="H10" s="131"/>
    </row>
    <row r="11" spans="2:8" x14ac:dyDescent="0.25">
      <c r="B11" s="279" t="s">
        <v>46</v>
      </c>
      <c r="C11" s="280"/>
      <c r="D11" s="280"/>
      <c r="E11" s="280"/>
      <c r="F11" s="280"/>
      <c r="G11" s="280"/>
      <c r="H11" s="281"/>
    </row>
    <row r="12" spans="2:8" ht="14.4" x14ac:dyDescent="0.3">
      <c r="B12" s="132" t="s">
        <v>44</v>
      </c>
      <c r="C12" s="282" t="s">
        <v>45</v>
      </c>
      <c r="D12" s="282"/>
      <c r="E12" s="282"/>
      <c r="F12" s="282" t="s">
        <v>8</v>
      </c>
      <c r="G12" s="282"/>
      <c r="H12" s="283"/>
    </row>
    <row r="13" spans="2:8" x14ac:dyDescent="0.25">
      <c r="B13" s="139"/>
      <c r="C13" s="258"/>
      <c r="D13" s="258"/>
      <c r="E13" s="258"/>
      <c r="F13" s="258"/>
      <c r="G13" s="258"/>
      <c r="H13" s="284"/>
    </row>
    <row r="14" spans="2:8" x14ac:dyDescent="0.25">
      <c r="B14" s="139"/>
      <c r="C14" s="258"/>
      <c r="D14" s="258"/>
      <c r="E14" s="258"/>
      <c r="F14" s="258"/>
      <c r="G14" s="258"/>
      <c r="H14" s="284"/>
    </row>
    <row r="15" spans="2:8" x14ac:dyDescent="0.25">
      <c r="B15" s="139"/>
      <c r="C15" s="258"/>
      <c r="D15" s="258"/>
      <c r="E15" s="258"/>
      <c r="F15" s="258"/>
      <c r="G15" s="258"/>
      <c r="H15" s="284"/>
    </row>
    <row r="16" spans="2:8" ht="7.95" customHeight="1" x14ac:dyDescent="0.25">
      <c r="B16" s="129"/>
      <c r="C16" s="130"/>
      <c r="D16" s="130"/>
      <c r="E16" s="130"/>
      <c r="F16" s="130"/>
      <c r="G16" s="130"/>
      <c r="H16" s="131"/>
    </row>
    <row r="17" spans="2:8" x14ac:dyDescent="0.25">
      <c r="B17" s="279" t="s">
        <v>48</v>
      </c>
      <c r="C17" s="280"/>
      <c r="D17" s="280"/>
      <c r="E17" s="280"/>
      <c r="F17" s="280"/>
      <c r="G17" s="280"/>
      <c r="H17" s="281"/>
    </row>
    <row r="18" spans="2:8" ht="14.4" x14ac:dyDescent="0.3">
      <c r="B18" s="132" t="s">
        <v>44</v>
      </c>
      <c r="C18" s="133" t="s">
        <v>404</v>
      </c>
      <c r="D18" s="134" t="s">
        <v>49</v>
      </c>
      <c r="E18" s="134" t="s">
        <v>50</v>
      </c>
      <c r="F18" s="282" t="s">
        <v>8</v>
      </c>
      <c r="G18" s="282"/>
      <c r="H18" s="283"/>
    </row>
    <row r="19" spans="2:8" x14ac:dyDescent="0.25">
      <c r="B19" s="140"/>
      <c r="C19" s="141"/>
      <c r="D19" s="142"/>
      <c r="E19" s="142"/>
      <c r="F19" s="258"/>
      <c r="G19" s="258"/>
      <c r="H19" s="284"/>
    </row>
    <row r="20" spans="2:8" x14ac:dyDescent="0.25">
      <c r="B20" s="140"/>
      <c r="C20" s="141"/>
      <c r="D20" s="142"/>
      <c r="E20" s="142"/>
      <c r="F20" s="258"/>
      <c r="G20" s="258"/>
      <c r="H20" s="284"/>
    </row>
    <row r="21" spans="2:8" ht="15" customHeight="1" x14ac:dyDescent="0.25">
      <c r="B21" s="140"/>
      <c r="C21" s="141"/>
      <c r="D21" s="142"/>
      <c r="E21" s="142"/>
      <c r="F21" s="258"/>
      <c r="G21" s="258"/>
      <c r="H21" s="284"/>
    </row>
    <row r="22" spans="2:8" ht="7.95" customHeight="1" x14ac:dyDescent="0.25">
      <c r="B22" s="129"/>
      <c r="C22" s="130"/>
      <c r="D22" s="130"/>
      <c r="E22" s="130"/>
      <c r="F22" s="130"/>
      <c r="G22" s="130"/>
      <c r="H22" s="131"/>
    </row>
    <row r="23" spans="2:8" x14ac:dyDescent="0.25">
      <c r="B23" s="279" t="s">
        <v>51</v>
      </c>
      <c r="C23" s="280"/>
      <c r="D23" s="280"/>
      <c r="E23" s="280"/>
      <c r="F23" s="280"/>
      <c r="G23" s="280"/>
      <c r="H23" s="281"/>
    </row>
    <row r="24" spans="2:8" ht="14.4" x14ac:dyDescent="0.3">
      <c r="B24" s="135" t="s">
        <v>2</v>
      </c>
      <c r="C24" s="285" t="s">
        <v>52</v>
      </c>
      <c r="D24" s="285"/>
      <c r="E24" s="285"/>
      <c r="F24" s="282" t="s">
        <v>8</v>
      </c>
      <c r="G24" s="282"/>
      <c r="H24" s="283"/>
    </row>
    <row r="25" spans="2:8" x14ac:dyDescent="0.25">
      <c r="B25" s="140"/>
      <c r="C25" s="212"/>
      <c r="D25" s="212"/>
      <c r="E25" s="212"/>
      <c r="F25" s="258"/>
      <c r="G25" s="258"/>
      <c r="H25" s="284"/>
    </row>
    <row r="26" spans="2:8" ht="7.95" customHeight="1" thickBot="1" x14ac:dyDescent="0.3">
      <c r="B26" s="136"/>
      <c r="C26" s="137"/>
      <c r="D26" s="137"/>
      <c r="E26" s="137"/>
      <c r="F26" s="137"/>
      <c r="G26" s="137"/>
      <c r="H26" s="138"/>
    </row>
    <row r="27" spans="2:8" ht="15" customHeight="1" thickBot="1" x14ac:dyDescent="0.3"/>
    <row r="28" spans="2:8" ht="13.8" customHeight="1" x14ac:dyDescent="0.25">
      <c r="B28" s="127" t="s">
        <v>40</v>
      </c>
      <c r="C28" s="121" t="s">
        <v>60</v>
      </c>
      <c r="D28" s="277" t="s">
        <v>41</v>
      </c>
      <c r="E28" s="278"/>
      <c r="F28" s="122"/>
      <c r="G28" s="128" t="s">
        <v>42</v>
      </c>
      <c r="H28" s="123"/>
    </row>
    <row r="29" spans="2:8" ht="7.95" customHeight="1" x14ac:dyDescent="0.25">
      <c r="B29" s="129"/>
      <c r="C29" s="130"/>
      <c r="D29" s="130"/>
      <c r="E29" s="130"/>
      <c r="F29" s="130"/>
      <c r="G29" s="130"/>
      <c r="H29" s="131"/>
    </row>
    <row r="30" spans="2:8" x14ac:dyDescent="0.25">
      <c r="B30" s="279" t="s">
        <v>47</v>
      </c>
      <c r="C30" s="280"/>
      <c r="D30" s="280"/>
      <c r="E30" s="280"/>
      <c r="F30" s="280"/>
      <c r="G30" s="280"/>
      <c r="H30" s="281"/>
    </row>
    <row r="31" spans="2:8" ht="14.4" x14ac:dyDescent="0.3">
      <c r="B31" s="132" t="s">
        <v>44</v>
      </c>
      <c r="C31" s="282" t="s">
        <v>45</v>
      </c>
      <c r="D31" s="282"/>
      <c r="E31" s="282"/>
      <c r="F31" s="282" t="s">
        <v>8</v>
      </c>
      <c r="G31" s="282"/>
      <c r="H31" s="283"/>
    </row>
    <row r="32" spans="2:8" x14ac:dyDescent="0.25">
      <c r="B32" s="143"/>
      <c r="C32" s="286"/>
      <c r="D32" s="286"/>
      <c r="E32" s="286"/>
      <c r="F32" s="286"/>
      <c r="G32" s="286"/>
      <c r="H32" s="287"/>
    </row>
    <row r="33" spans="2:8" x14ac:dyDescent="0.25">
      <c r="B33" s="143"/>
      <c r="C33" s="286"/>
      <c r="D33" s="286"/>
      <c r="E33" s="286"/>
      <c r="F33" s="286"/>
      <c r="G33" s="286"/>
      <c r="H33" s="287"/>
    </row>
    <row r="34" spans="2:8" x14ac:dyDescent="0.25">
      <c r="B34" s="143"/>
      <c r="C34" s="286"/>
      <c r="D34" s="286"/>
      <c r="E34" s="286"/>
      <c r="F34" s="286"/>
      <c r="G34" s="286"/>
      <c r="H34" s="287"/>
    </row>
    <row r="35" spans="2:8" ht="7.95" customHeight="1" x14ac:dyDescent="0.25">
      <c r="B35" s="129"/>
      <c r="C35" s="130"/>
      <c r="D35" s="130"/>
      <c r="E35" s="130"/>
      <c r="F35" s="130"/>
      <c r="G35" s="130"/>
      <c r="H35" s="131"/>
    </row>
    <row r="36" spans="2:8" x14ac:dyDescent="0.25">
      <c r="B36" s="279" t="s">
        <v>46</v>
      </c>
      <c r="C36" s="280"/>
      <c r="D36" s="280"/>
      <c r="E36" s="280"/>
      <c r="F36" s="280"/>
      <c r="G36" s="280"/>
      <c r="H36" s="281"/>
    </row>
    <row r="37" spans="2:8" ht="14.4" x14ac:dyDescent="0.3">
      <c r="B37" s="132" t="s">
        <v>44</v>
      </c>
      <c r="C37" s="282" t="s">
        <v>45</v>
      </c>
      <c r="D37" s="282"/>
      <c r="E37" s="282"/>
      <c r="F37" s="282" t="s">
        <v>8</v>
      </c>
      <c r="G37" s="282"/>
      <c r="H37" s="283"/>
    </row>
    <row r="38" spans="2:8" x14ac:dyDescent="0.25">
      <c r="B38" s="143"/>
      <c r="C38" s="286"/>
      <c r="D38" s="286"/>
      <c r="E38" s="286"/>
      <c r="F38" s="286"/>
      <c r="G38" s="286"/>
      <c r="H38" s="287"/>
    </row>
    <row r="39" spans="2:8" x14ac:dyDescent="0.25">
      <c r="B39" s="143"/>
      <c r="C39" s="286"/>
      <c r="D39" s="286"/>
      <c r="E39" s="286"/>
      <c r="F39" s="286"/>
      <c r="G39" s="286"/>
      <c r="H39" s="287"/>
    </row>
    <row r="40" spans="2:8" x14ac:dyDescent="0.25">
      <c r="B40" s="143"/>
      <c r="C40" s="286"/>
      <c r="D40" s="286"/>
      <c r="E40" s="286"/>
      <c r="F40" s="286"/>
      <c r="G40" s="286"/>
      <c r="H40" s="287"/>
    </row>
    <row r="41" spans="2:8" ht="7.95" customHeight="1" x14ac:dyDescent="0.25">
      <c r="B41" s="129"/>
      <c r="C41" s="130"/>
      <c r="D41" s="130"/>
      <c r="E41" s="130"/>
      <c r="F41" s="130"/>
      <c r="G41" s="130"/>
      <c r="H41" s="131"/>
    </row>
    <row r="42" spans="2:8" x14ac:dyDescent="0.25">
      <c r="B42" s="279" t="s">
        <v>48</v>
      </c>
      <c r="C42" s="280"/>
      <c r="D42" s="280"/>
      <c r="E42" s="280"/>
      <c r="F42" s="280"/>
      <c r="G42" s="280"/>
      <c r="H42" s="281"/>
    </row>
    <row r="43" spans="2:8" ht="14.4" x14ac:dyDescent="0.3">
      <c r="B43" s="132" t="s">
        <v>44</v>
      </c>
      <c r="C43" s="133" t="s">
        <v>404</v>
      </c>
      <c r="D43" s="134" t="s">
        <v>49</v>
      </c>
      <c r="E43" s="134" t="s">
        <v>50</v>
      </c>
      <c r="F43" s="282" t="s">
        <v>8</v>
      </c>
      <c r="G43" s="282"/>
      <c r="H43" s="283"/>
    </row>
    <row r="44" spans="2:8" x14ac:dyDescent="0.25">
      <c r="B44" s="140"/>
      <c r="C44" s="141"/>
      <c r="D44" s="142"/>
      <c r="E44" s="142"/>
      <c r="F44" s="258"/>
      <c r="G44" s="258"/>
      <c r="H44" s="284"/>
    </row>
    <row r="45" spans="2:8" x14ac:dyDescent="0.25">
      <c r="B45" s="140"/>
      <c r="C45" s="141"/>
      <c r="D45" s="142"/>
      <c r="E45" s="142"/>
      <c r="F45" s="258"/>
      <c r="G45" s="258"/>
      <c r="H45" s="284"/>
    </row>
    <row r="46" spans="2:8" x14ac:dyDescent="0.25">
      <c r="B46" s="140"/>
      <c r="C46" s="141"/>
      <c r="D46" s="142"/>
      <c r="E46" s="142"/>
      <c r="F46" s="258"/>
      <c r="G46" s="258"/>
      <c r="H46" s="284"/>
    </row>
    <row r="47" spans="2:8" ht="7.95" customHeight="1" x14ac:dyDescent="0.25">
      <c r="B47" s="129"/>
      <c r="C47" s="130"/>
      <c r="D47" s="130"/>
      <c r="E47" s="130"/>
      <c r="F47" s="130"/>
      <c r="G47" s="130"/>
      <c r="H47" s="131"/>
    </row>
    <row r="48" spans="2:8" x14ac:dyDescent="0.25">
      <c r="B48" s="279" t="s">
        <v>51</v>
      </c>
      <c r="C48" s="280"/>
      <c r="D48" s="280"/>
      <c r="E48" s="280"/>
      <c r="F48" s="280"/>
      <c r="G48" s="280"/>
      <c r="H48" s="281"/>
    </row>
    <row r="49" spans="2:8" ht="14.4" x14ac:dyDescent="0.3">
      <c r="B49" s="135" t="s">
        <v>2</v>
      </c>
      <c r="C49" s="285" t="s">
        <v>52</v>
      </c>
      <c r="D49" s="285"/>
      <c r="E49" s="285"/>
      <c r="F49" s="282" t="s">
        <v>8</v>
      </c>
      <c r="G49" s="282"/>
      <c r="H49" s="283"/>
    </row>
    <row r="50" spans="2:8" x14ac:dyDescent="0.25">
      <c r="B50" s="144"/>
      <c r="C50" s="288"/>
      <c r="D50" s="288"/>
      <c r="E50" s="288"/>
      <c r="F50" s="286"/>
      <c r="G50" s="286"/>
      <c r="H50" s="287"/>
    </row>
    <row r="51" spans="2:8" ht="7.95" customHeight="1" thickBot="1" x14ac:dyDescent="0.3">
      <c r="B51" s="136"/>
      <c r="C51" s="137"/>
      <c r="D51" s="137"/>
      <c r="E51" s="137"/>
      <c r="F51" s="137"/>
      <c r="G51" s="137"/>
      <c r="H51" s="138"/>
    </row>
  </sheetData>
  <sheetProtection sheet="1" objects="1" scenarios="1" insertColumns="0" insertRows="0" deleteColumns="0" deleteRows="0"/>
  <mergeCells count="59">
    <mergeCell ref="C50:E50"/>
    <mergeCell ref="F50:H50"/>
    <mergeCell ref="F44:H44"/>
    <mergeCell ref="F45:H45"/>
    <mergeCell ref="F46:H46"/>
    <mergeCell ref="B48:H48"/>
    <mergeCell ref="C49:E49"/>
    <mergeCell ref="F49:H49"/>
    <mergeCell ref="F43:H43"/>
    <mergeCell ref="C34:E34"/>
    <mergeCell ref="F34:H34"/>
    <mergeCell ref="B36:H36"/>
    <mergeCell ref="C37:E37"/>
    <mergeCell ref="F37:H37"/>
    <mergeCell ref="C38:E38"/>
    <mergeCell ref="F38:H38"/>
    <mergeCell ref="C39:E39"/>
    <mergeCell ref="F39:H39"/>
    <mergeCell ref="C40:E40"/>
    <mergeCell ref="F40:H40"/>
    <mergeCell ref="B42:H42"/>
    <mergeCell ref="C31:E31"/>
    <mergeCell ref="F31:H31"/>
    <mergeCell ref="C32:E32"/>
    <mergeCell ref="F32:H32"/>
    <mergeCell ref="C33:E33"/>
    <mergeCell ref="F33:H33"/>
    <mergeCell ref="B30:H30"/>
    <mergeCell ref="B17:H17"/>
    <mergeCell ref="F18:H18"/>
    <mergeCell ref="F19:H19"/>
    <mergeCell ref="F20:H20"/>
    <mergeCell ref="F21:H21"/>
    <mergeCell ref="B23:H23"/>
    <mergeCell ref="C24:E24"/>
    <mergeCell ref="F24:H24"/>
    <mergeCell ref="C25:E25"/>
    <mergeCell ref="F25:H25"/>
    <mergeCell ref="D28:E28"/>
    <mergeCell ref="C13:E13"/>
    <mergeCell ref="F13:H13"/>
    <mergeCell ref="C14:E14"/>
    <mergeCell ref="F14:H14"/>
    <mergeCell ref="C15:E15"/>
    <mergeCell ref="F15:H15"/>
    <mergeCell ref="C12:E12"/>
    <mergeCell ref="F12:H12"/>
    <mergeCell ref="B1:H1"/>
    <mergeCell ref="D3:E3"/>
    <mergeCell ref="B5:H5"/>
    <mergeCell ref="C6:E6"/>
    <mergeCell ref="F6:H6"/>
    <mergeCell ref="C7:E7"/>
    <mergeCell ref="F7:H7"/>
    <mergeCell ref="C8:E8"/>
    <mergeCell ref="F8:H8"/>
    <mergeCell ref="C9:E9"/>
    <mergeCell ref="F9:H9"/>
    <mergeCell ref="B11:H11"/>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listes!$A$2:$A$4</xm:f>
          </x14:formula1>
          <xm:sqref>F3 F28</xm:sqref>
        </x14:dataValidation>
        <x14:dataValidation type="list" allowBlank="1" showInputMessage="1" showErrorMessage="1">
          <x14:formula1>
            <xm:f>listes!$B$2:$B$4</xm:f>
          </x14:formula1>
          <xm:sqref>H3 H28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dimension ref="A1:H41"/>
  <sheetViews>
    <sheetView zoomScaleNormal="100" zoomScalePageLayoutView="70" workbookViewId="0">
      <selection activeCell="I11" sqref="I11"/>
    </sheetView>
  </sheetViews>
  <sheetFormatPr baseColWidth="10" defaultRowHeight="13.8" x14ac:dyDescent="0.25"/>
  <cols>
    <col min="1" max="1" width="7" style="1" customWidth="1"/>
    <col min="2" max="2" width="4.88671875" style="1" customWidth="1"/>
    <col min="3" max="3" width="20.6640625" style="1" customWidth="1"/>
    <col min="4" max="4" width="1.77734375" style="1" customWidth="1"/>
    <col min="5" max="5" width="4.88671875" style="1" customWidth="1"/>
    <col min="6" max="6" width="21.33203125" style="1" customWidth="1"/>
    <col min="7" max="7" width="4.88671875" style="1" customWidth="1"/>
    <col min="8" max="8" width="24.33203125" style="1" customWidth="1"/>
    <col min="9" max="16384" width="11.5546875" style="1"/>
  </cols>
  <sheetData>
    <row r="1" spans="1:8" ht="15" customHeight="1" thickBot="1" x14ac:dyDescent="0.3">
      <c r="B1" s="264" t="s">
        <v>77</v>
      </c>
      <c r="C1" s="265"/>
      <c r="D1" s="265"/>
      <c r="E1" s="265"/>
      <c r="F1" s="265"/>
      <c r="G1" s="265"/>
      <c r="H1" s="266"/>
    </row>
    <row r="2" spans="1:8" ht="7.95" customHeight="1" x14ac:dyDescent="0.25">
      <c r="B2" s="10"/>
      <c r="C2" s="11"/>
      <c r="D2" s="11"/>
      <c r="E2" s="11"/>
      <c r="F2" s="12"/>
      <c r="G2" s="11"/>
      <c r="H2" s="11"/>
    </row>
    <row r="3" spans="1:8" x14ac:dyDescent="0.25">
      <c r="A3" s="15"/>
      <c r="B3" s="14" t="s">
        <v>78</v>
      </c>
    </row>
    <row r="4" spans="1:8" ht="7.95" customHeight="1" thickBot="1" x14ac:dyDescent="0.3">
      <c r="A4" s="15"/>
      <c r="B4" s="29"/>
      <c r="C4" s="29"/>
      <c r="D4" s="29"/>
      <c r="E4" s="29"/>
      <c r="F4" s="29"/>
      <c r="G4" s="29"/>
      <c r="H4" s="29"/>
    </row>
    <row r="5" spans="1:8" ht="13.8" customHeight="1" thickTop="1" x14ac:dyDescent="0.25">
      <c r="A5" s="15"/>
      <c r="B5" s="295"/>
      <c r="C5" s="31" t="s">
        <v>79</v>
      </c>
      <c r="D5" s="32"/>
      <c r="E5" s="295"/>
      <c r="F5" s="31" t="s">
        <v>90</v>
      </c>
      <c r="G5" s="32"/>
      <c r="H5" s="291" t="s">
        <v>106</v>
      </c>
    </row>
    <row r="6" spans="1:8" x14ac:dyDescent="0.25">
      <c r="A6" s="15"/>
      <c r="B6" s="296"/>
      <c r="C6" s="16" t="s">
        <v>80</v>
      </c>
      <c r="D6" s="2"/>
      <c r="E6" s="296"/>
      <c r="F6" s="16" t="s">
        <v>80</v>
      </c>
      <c r="G6" s="2"/>
      <c r="H6" s="292"/>
    </row>
    <row r="7" spans="1:8" ht="13.8" customHeight="1" x14ac:dyDescent="0.25">
      <c r="A7" s="15"/>
      <c r="B7" s="293"/>
      <c r="C7" s="25" t="s">
        <v>81</v>
      </c>
      <c r="D7" s="26"/>
      <c r="E7" s="297"/>
      <c r="F7" s="25" t="s">
        <v>101</v>
      </c>
      <c r="G7" s="26"/>
      <c r="H7" s="289" t="s">
        <v>406</v>
      </c>
    </row>
    <row r="8" spans="1:8" ht="13.8" customHeight="1" x14ac:dyDescent="0.25">
      <c r="A8" s="15"/>
      <c r="B8" s="294"/>
      <c r="C8" s="27" t="s">
        <v>82</v>
      </c>
      <c r="D8" s="28"/>
      <c r="E8" s="298"/>
      <c r="F8" s="27" t="s">
        <v>82</v>
      </c>
      <c r="G8" s="28"/>
      <c r="H8" s="290"/>
    </row>
    <row r="9" spans="1:8" ht="13.8" customHeight="1" x14ac:dyDescent="0.25">
      <c r="A9" s="15"/>
      <c r="B9" s="16"/>
      <c r="C9" s="16" t="s">
        <v>83</v>
      </c>
      <c r="D9" s="2"/>
      <c r="E9" s="2"/>
      <c r="F9" s="16" t="s">
        <v>102</v>
      </c>
      <c r="G9" s="2"/>
      <c r="H9" s="116" t="s">
        <v>107</v>
      </c>
    </row>
    <row r="10" spans="1:8" ht="14.4" customHeight="1" x14ac:dyDescent="0.25">
      <c r="A10" s="15"/>
      <c r="B10" s="33"/>
      <c r="C10" s="33" t="s">
        <v>84</v>
      </c>
      <c r="D10" s="34"/>
      <c r="E10" s="34"/>
      <c r="F10" s="33" t="s">
        <v>105</v>
      </c>
      <c r="G10" s="34"/>
      <c r="H10" s="117" t="s">
        <v>108</v>
      </c>
    </row>
    <row r="11" spans="1:8" ht="30" customHeight="1" x14ac:dyDescent="0.25">
      <c r="B11" s="16"/>
      <c r="C11" s="16" t="s">
        <v>85</v>
      </c>
      <c r="D11" s="2"/>
      <c r="E11" s="2"/>
      <c r="F11" s="16" t="s">
        <v>103</v>
      </c>
      <c r="G11" s="2"/>
      <c r="H11" s="116" t="s">
        <v>407</v>
      </c>
    </row>
    <row r="12" spans="1:8" ht="25.8" customHeight="1" x14ac:dyDescent="0.25">
      <c r="A12" s="15"/>
      <c r="B12" s="33"/>
      <c r="C12" s="35" t="s">
        <v>86</v>
      </c>
      <c r="D12" s="34"/>
      <c r="E12" s="34"/>
      <c r="F12" s="33" t="s">
        <v>104</v>
      </c>
      <c r="G12" s="34"/>
      <c r="H12" s="118" t="s">
        <v>109</v>
      </c>
    </row>
    <row r="13" spans="1:8" ht="25.8" customHeight="1" x14ac:dyDescent="0.25">
      <c r="A13" s="15"/>
      <c r="B13" s="16"/>
      <c r="C13" s="16" t="s">
        <v>87</v>
      </c>
      <c r="D13" s="2"/>
      <c r="E13" s="2"/>
      <c r="F13" s="16"/>
      <c r="G13" s="2"/>
      <c r="H13" s="119" t="s">
        <v>110</v>
      </c>
    </row>
    <row r="14" spans="1:8" ht="25.8" customHeight="1" x14ac:dyDescent="0.25">
      <c r="A14" s="15"/>
      <c r="B14" s="33"/>
      <c r="C14" s="33" t="s">
        <v>88</v>
      </c>
      <c r="D14" s="34"/>
      <c r="E14" s="34"/>
      <c r="F14" s="33"/>
      <c r="G14" s="34"/>
      <c r="H14" s="118" t="s">
        <v>406</v>
      </c>
    </row>
    <row r="15" spans="1:8" ht="21.6" customHeight="1" thickBot="1" x14ac:dyDescent="0.3">
      <c r="A15" s="15"/>
      <c r="B15" s="30"/>
      <c r="C15" s="30" t="s">
        <v>89</v>
      </c>
      <c r="D15" s="29"/>
      <c r="E15" s="29"/>
      <c r="F15" s="30"/>
      <c r="G15" s="29"/>
      <c r="H15" s="120" t="s">
        <v>111</v>
      </c>
    </row>
    <row r="16" spans="1:8" ht="10.050000000000001" customHeight="1" thickTop="1" x14ac:dyDescent="0.25">
      <c r="A16" s="15"/>
    </row>
    <row r="17" spans="1:8" x14ac:dyDescent="0.25">
      <c r="A17" s="15"/>
      <c r="B17" s="14" t="s">
        <v>112</v>
      </c>
    </row>
    <row r="18" spans="1:8" ht="7.95" customHeight="1" x14ac:dyDescent="0.25">
      <c r="A18" s="15"/>
    </row>
    <row r="19" spans="1:8" x14ac:dyDescent="0.25">
      <c r="A19" s="15"/>
      <c r="B19" s="299" t="s">
        <v>127</v>
      </c>
      <c r="C19" s="299"/>
      <c r="G19" s="299" t="s">
        <v>151</v>
      </c>
      <c r="H19" s="299"/>
    </row>
    <row r="20" spans="1:8" ht="13.8" customHeight="1" x14ac:dyDescent="0.25">
      <c r="B20" s="23">
        <v>0</v>
      </c>
      <c r="C20" s="292" t="s">
        <v>113</v>
      </c>
      <c r="D20" s="292"/>
      <c r="E20" s="292"/>
      <c r="F20" s="292"/>
      <c r="G20" s="23">
        <v>0</v>
      </c>
      <c r="H20" s="36" t="s">
        <v>119</v>
      </c>
    </row>
    <row r="21" spans="1:8" ht="13.8" customHeight="1" x14ac:dyDescent="0.25">
      <c r="A21" s="15"/>
      <c r="B21" s="23">
        <v>1</v>
      </c>
      <c r="C21" s="292" t="s">
        <v>114</v>
      </c>
      <c r="D21" s="292"/>
      <c r="E21" s="292"/>
      <c r="F21" s="292"/>
      <c r="G21" s="23">
        <v>1</v>
      </c>
      <c r="H21" s="36" t="s">
        <v>121</v>
      </c>
    </row>
    <row r="22" spans="1:8" x14ac:dyDescent="0.25">
      <c r="A22" s="15"/>
      <c r="B22" s="23">
        <v>2</v>
      </c>
      <c r="C22" s="292" t="s">
        <v>115</v>
      </c>
      <c r="D22" s="292"/>
      <c r="E22" s="292"/>
      <c r="F22" s="292"/>
      <c r="G22" s="23">
        <v>2</v>
      </c>
      <c r="H22" s="36" t="s">
        <v>120</v>
      </c>
    </row>
    <row r="23" spans="1:8" x14ac:dyDescent="0.25">
      <c r="A23" s="15"/>
      <c r="B23" s="23">
        <v>3</v>
      </c>
      <c r="C23" s="292" t="s">
        <v>117</v>
      </c>
      <c r="D23" s="292"/>
      <c r="E23" s="292"/>
      <c r="F23" s="292"/>
    </row>
    <row r="24" spans="1:8" x14ac:dyDescent="0.25">
      <c r="A24" s="15"/>
      <c r="B24" s="23">
        <v>4</v>
      </c>
      <c r="C24" s="292" t="s">
        <v>116</v>
      </c>
      <c r="D24" s="292"/>
      <c r="E24" s="292"/>
      <c r="F24" s="292"/>
      <c r="G24" s="300" t="s">
        <v>143</v>
      </c>
      <c r="H24" s="300"/>
    </row>
    <row r="25" spans="1:8" x14ac:dyDescent="0.25">
      <c r="A25" s="15"/>
      <c r="B25" s="23">
        <v>5</v>
      </c>
      <c r="C25" s="292" t="s">
        <v>118</v>
      </c>
      <c r="D25" s="292"/>
      <c r="E25" s="292"/>
      <c r="F25" s="292"/>
      <c r="G25" s="23">
        <v>0</v>
      </c>
      <c r="H25" s="36" t="s">
        <v>147</v>
      </c>
    </row>
    <row r="26" spans="1:8" ht="13.8" customHeight="1" x14ac:dyDescent="0.25">
      <c r="A26" s="15"/>
      <c r="B26" s="24"/>
      <c r="G26" s="23">
        <v>1</v>
      </c>
      <c r="H26" s="36" t="s">
        <v>148</v>
      </c>
    </row>
    <row r="27" spans="1:8" ht="13.8" customHeight="1" x14ac:dyDescent="0.25">
      <c r="A27" s="15"/>
      <c r="B27" s="299" t="s">
        <v>128</v>
      </c>
      <c r="C27" s="299"/>
      <c r="D27" s="299"/>
      <c r="E27" s="299"/>
      <c r="F27" s="299"/>
      <c r="G27" s="38">
        <v>2</v>
      </c>
      <c r="H27" s="39" t="s">
        <v>149</v>
      </c>
    </row>
    <row r="28" spans="1:8" x14ac:dyDescent="0.25">
      <c r="A28" s="15"/>
      <c r="B28" s="23">
        <v>0</v>
      </c>
      <c r="C28" s="292" t="s">
        <v>123</v>
      </c>
      <c r="D28" s="292"/>
      <c r="E28" s="292"/>
      <c r="F28" s="292"/>
      <c r="G28" s="23">
        <v>0</v>
      </c>
      <c r="H28" s="36" t="s">
        <v>147</v>
      </c>
    </row>
    <row r="29" spans="1:8" x14ac:dyDescent="0.25">
      <c r="B29" s="23">
        <v>1</v>
      </c>
      <c r="C29" s="292" t="s">
        <v>124</v>
      </c>
      <c r="D29" s="292"/>
      <c r="E29" s="292"/>
      <c r="F29" s="292"/>
      <c r="G29" s="23">
        <v>1</v>
      </c>
      <c r="H29" s="36" t="s">
        <v>148</v>
      </c>
    </row>
    <row r="30" spans="1:8" ht="27" customHeight="1" x14ac:dyDescent="0.25">
      <c r="A30" s="15"/>
      <c r="B30" s="23" t="s">
        <v>122</v>
      </c>
      <c r="C30" s="292" t="s">
        <v>145</v>
      </c>
      <c r="D30" s="292"/>
      <c r="E30" s="292"/>
      <c r="F30" s="292"/>
      <c r="G30" s="38">
        <v>2</v>
      </c>
      <c r="H30" s="39" t="s">
        <v>149</v>
      </c>
    </row>
    <row r="31" spans="1:8" x14ac:dyDescent="0.25">
      <c r="A31" s="15"/>
      <c r="B31" s="23">
        <v>2</v>
      </c>
      <c r="C31" s="292" t="s">
        <v>144</v>
      </c>
      <c r="D31" s="292"/>
      <c r="E31" s="292"/>
      <c r="F31" s="292"/>
      <c r="H31" s="36"/>
    </row>
    <row r="32" spans="1:8" x14ac:dyDescent="0.25">
      <c r="A32" s="15"/>
      <c r="B32" s="23">
        <v>3</v>
      </c>
      <c r="C32" s="292" t="s">
        <v>125</v>
      </c>
      <c r="D32" s="292"/>
      <c r="E32" s="292"/>
      <c r="F32" s="292"/>
      <c r="G32" s="299" t="s">
        <v>129</v>
      </c>
      <c r="H32" s="299"/>
    </row>
    <row r="33" spans="1:8" ht="14.4" x14ac:dyDescent="0.3">
      <c r="A33" s="15"/>
      <c r="B33" s="23">
        <v>4</v>
      </c>
      <c r="C33" s="292" t="s">
        <v>126</v>
      </c>
      <c r="D33" s="292"/>
      <c r="E33" s="292"/>
      <c r="F33" s="292"/>
      <c r="G33" s="37" t="s">
        <v>141</v>
      </c>
      <c r="H33" s="37"/>
    </row>
    <row r="34" spans="1:8" ht="14.4" customHeight="1" x14ac:dyDescent="0.3">
      <c r="A34" s="15"/>
      <c r="B34" s="24"/>
      <c r="G34" s="37" t="s">
        <v>142</v>
      </c>
      <c r="H34" s="37"/>
    </row>
    <row r="35" spans="1:8" ht="13.8" customHeight="1" x14ac:dyDescent="0.25">
      <c r="A35" s="15"/>
      <c r="B35" s="299" t="s">
        <v>131</v>
      </c>
      <c r="C35" s="299"/>
      <c r="D35" s="299"/>
      <c r="E35" s="299"/>
      <c r="F35" s="299"/>
    </row>
    <row r="36" spans="1:8" ht="13.8" customHeight="1" x14ac:dyDescent="0.25">
      <c r="A36" s="15"/>
      <c r="B36" s="23">
        <v>0</v>
      </c>
      <c r="C36" s="292" t="s">
        <v>132</v>
      </c>
      <c r="D36" s="292"/>
      <c r="E36" s="292"/>
      <c r="F36" s="292"/>
      <c r="G36" s="299" t="s">
        <v>130</v>
      </c>
      <c r="H36" s="299"/>
    </row>
    <row r="37" spans="1:8" ht="13.8" customHeight="1" x14ac:dyDescent="0.25">
      <c r="B37" s="23" t="s">
        <v>133</v>
      </c>
      <c r="C37" s="292" t="s">
        <v>146</v>
      </c>
      <c r="D37" s="292"/>
      <c r="E37" s="292"/>
      <c r="F37" s="292"/>
      <c r="G37" s="23">
        <v>0</v>
      </c>
      <c r="H37" s="36" t="s">
        <v>138</v>
      </c>
    </row>
    <row r="38" spans="1:8" ht="13.8" customHeight="1" x14ac:dyDescent="0.25">
      <c r="A38" s="15"/>
      <c r="B38" s="23">
        <v>1</v>
      </c>
      <c r="C38" s="292" t="s">
        <v>135</v>
      </c>
      <c r="D38" s="292"/>
      <c r="E38" s="292"/>
      <c r="F38" s="292"/>
      <c r="G38" s="23">
        <v>1</v>
      </c>
      <c r="H38" s="36" t="s">
        <v>139</v>
      </c>
    </row>
    <row r="39" spans="1:8" ht="24.6" customHeight="1" x14ac:dyDescent="0.25">
      <c r="A39" s="15"/>
      <c r="B39" s="23" t="s">
        <v>134</v>
      </c>
      <c r="C39" s="292" t="s">
        <v>136</v>
      </c>
      <c r="D39" s="292"/>
      <c r="E39" s="292"/>
      <c r="F39" s="292"/>
      <c r="G39" s="23">
        <v>2</v>
      </c>
      <c r="H39" s="36" t="s">
        <v>140</v>
      </c>
    </row>
    <row r="40" spans="1:8" x14ac:dyDescent="0.25">
      <c r="A40" s="15"/>
      <c r="B40" s="23">
        <v>2</v>
      </c>
      <c r="C40" s="292" t="s">
        <v>137</v>
      </c>
      <c r="D40" s="292"/>
      <c r="E40" s="292"/>
      <c r="F40" s="292"/>
      <c r="G40" s="23">
        <v>3</v>
      </c>
      <c r="H40" s="36" t="s">
        <v>150</v>
      </c>
    </row>
    <row r="41" spans="1:8" ht="15" customHeight="1" x14ac:dyDescent="0.25">
      <c r="G41" s="23">
        <v>4</v>
      </c>
      <c r="H41" s="36" t="s">
        <v>405</v>
      </c>
    </row>
  </sheetData>
  <sheetProtection algorithmName="SHA-512" hashValue="wltjfaRGuTcdnNfrlC5MPorGm/UNYcQX43ijmXwmMqtM1DKjJPP+7GYg4SpvjF90ND2SZlIpcQWvcbZFYwMI1g==" saltValue="VUTXvdfj8UPjOpP7h8SmhA==" spinCount="100000" sheet="1" objects="1" scenarios="1" selectLockedCells="1" selectUnlockedCells="1"/>
  <mergeCells count="31">
    <mergeCell ref="C37:F37"/>
    <mergeCell ref="C38:F38"/>
    <mergeCell ref="C39:F39"/>
    <mergeCell ref="C40:F40"/>
    <mergeCell ref="C36:F36"/>
    <mergeCell ref="C33:F33"/>
    <mergeCell ref="G36:H36"/>
    <mergeCell ref="G32:H32"/>
    <mergeCell ref="B35:F35"/>
    <mergeCell ref="C28:F28"/>
    <mergeCell ref="C29:F29"/>
    <mergeCell ref="C30:F30"/>
    <mergeCell ref="C31:F31"/>
    <mergeCell ref="C32:F32"/>
    <mergeCell ref="C23:F23"/>
    <mergeCell ref="C24:F24"/>
    <mergeCell ref="C25:F25"/>
    <mergeCell ref="G19:H19"/>
    <mergeCell ref="B27:F27"/>
    <mergeCell ref="G24:H24"/>
    <mergeCell ref="B19:C19"/>
    <mergeCell ref="C20:F20"/>
    <mergeCell ref="C21:F21"/>
    <mergeCell ref="C22:F22"/>
    <mergeCell ref="H7:H8"/>
    <mergeCell ref="H5:H6"/>
    <mergeCell ref="B7:B8"/>
    <mergeCell ref="B1:H1"/>
    <mergeCell ref="B5:B6"/>
    <mergeCell ref="E5:E6"/>
    <mergeCell ref="E7:E8"/>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B1:L96"/>
  <sheetViews>
    <sheetView tabSelected="1" topLeftCell="A22" zoomScaleNormal="100" zoomScalePageLayoutView="70" workbookViewId="0">
      <selection activeCell="B42" sqref="B42:K50"/>
    </sheetView>
  </sheetViews>
  <sheetFormatPr baseColWidth="10" defaultRowHeight="13.8" x14ac:dyDescent="0.25"/>
  <cols>
    <col min="1" max="1" width="7" style="1" customWidth="1"/>
    <col min="2" max="2" width="3.109375" style="1" bestFit="1" customWidth="1"/>
    <col min="3" max="3" width="3" style="1" bestFit="1" customWidth="1"/>
    <col min="4" max="4" width="11.5546875" style="1" customWidth="1"/>
    <col min="5" max="5" width="11.5546875" style="1"/>
    <col min="6" max="6" width="11.5546875" style="1" customWidth="1"/>
    <col min="7" max="7" width="16.77734375" style="1" customWidth="1"/>
    <col min="8" max="9" width="6.33203125" style="1" customWidth="1"/>
    <col min="10" max="11" width="6.33203125" style="22" customWidth="1"/>
    <col min="12" max="12" width="11.5546875" style="22" customWidth="1"/>
    <col min="13" max="16384" width="11.5546875" style="1"/>
  </cols>
  <sheetData>
    <row r="1" spans="2:12" ht="15" customHeight="1" thickBot="1" x14ac:dyDescent="0.3">
      <c r="B1" s="264" t="s">
        <v>409</v>
      </c>
      <c r="C1" s="265"/>
      <c r="D1" s="265"/>
      <c r="E1" s="265"/>
      <c r="F1" s="265"/>
      <c r="G1" s="265"/>
      <c r="H1" s="265"/>
      <c r="I1" s="265"/>
      <c r="J1" s="265"/>
      <c r="K1" s="266"/>
      <c r="L1" s="17"/>
    </row>
    <row r="2" spans="2:12" ht="7.95" customHeight="1" thickBot="1" x14ac:dyDescent="0.3">
      <c r="B2" s="10"/>
      <c r="C2" s="11"/>
      <c r="D2" s="11"/>
      <c r="E2" s="11"/>
      <c r="F2" s="12"/>
      <c r="G2" s="11"/>
      <c r="H2" s="11"/>
      <c r="J2" s="18"/>
      <c r="K2" s="18"/>
      <c r="L2" s="18"/>
    </row>
    <row r="3" spans="2:12" ht="15" thickBot="1" x14ac:dyDescent="0.35">
      <c r="B3" s="40"/>
      <c r="C3" s="40"/>
      <c r="D3" s="40"/>
      <c r="E3" s="40"/>
      <c r="F3" s="40"/>
      <c r="G3" s="40"/>
      <c r="H3" s="309" t="s">
        <v>49</v>
      </c>
      <c r="I3" s="310"/>
      <c r="J3" s="309" t="s">
        <v>50</v>
      </c>
      <c r="K3" s="386"/>
    </row>
    <row r="4" spans="2:12" x14ac:dyDescent="0.25">
      <c r="B4" s="383" t="s">
        <v>152</v>
      </c>
      <c r="C4" s="41">
        <v>1</v>
      </c>
      <c r="D4" s="334" t="s">
        <v>156</v>
      </c>
      <c r="E4" s="335"/>
      <c r="F4" s="335"/>
      <c r="G4" s="422"/>
      <c r="H4" s="402"/>
      <c r="I4" s="403"/>
      <c r="J4" s="402"/>
      <c r="K4" s="403"/>
    </row>
    <row r="5" spans="2:12" x14ac:dyDescent="0.25">
      <c r="B5" s="332"/>
      <c r="C5" s="42">
        <v>2</v>
      </c>
      <c r="D5" s="350" t="s">
        <v>157</v>
      </c>
      <c r="E5" s="351"/>
      <c r="F5" s="351"/>
      <c r="G5" s="448"/>
      <c r="H5" s="440"/>
      <c r="I5" s="441"/>
      <c r="J5" s="440"/>
      <c r="K5" s="441"/>
    </row>
    <row r="6" spans="2:12" x14ac:dyDescent="0.25">
      <c r="B6" s="332"/>
      <c r="C6" s="42">
        <v>3</v>
      </c>
      <c r="D6" s="350" t="s">
        <v>158</v>
      </c>
      <c r="E6" s="351"/>
      <c r="F6" s="351"/>
      <c r="G6" s="448"/>
      <c r="H6" s="62"/>
      <c r="I6" s="63"/>
      <c r="J6" s="62"/>
      <c r="K6" s="63"/>
    </row>
    <row r="7" spans="2:12" ht="14.4" thickBot="1" x14ac:dyDescent="0.3">
      <c r="B7" s="332"/>
      <c r="C7" s="43">
        <v>4</v>
      </c>
      <c r="D7" s="352" t="s">
        <v>159</v>
      </c>
      <c r="E7" s="353"/>
      <c r="F7" s="353"/>
      <c r="G7" s="449"/>
      <c r="H7" s="64"/>
      <c r="I7" s="65"/>
      <c r="J7" s="64"/>
      <c r="K7" s="65"/>
    </row>
    <row r="8" spans="2:12" ht="14.4" thickBot="1" x14ac:dyDescent="0.3">
      <c r="B8" s="332"/>
      <c r="C8" s="44">
        <v>5</v>
      </c>
      <c r="D8" s="450" t="s">
        <v>160</v>
      </c>
      <c r="E8" s="451"/>
      <c r="F8" s="451"/>
      <c r="G8" s="452"/>
      <c r="H8" s="365"/>
      <c r="I8" s="366"/>
      <c r="J8" s="365"/>
      <c r="K8" s="366"/>
    </row>
    <row r="9" spans="2:12" x14ac:dyDescent="0.25">
      <c r="B9" s="332"/>
      <c r="C9" s="45">
        <v>6</v>
      </c>
      <c r="D9" s="356" t="s">
        <v>161</v>
      </c>
      <c r="E9" s="357"/>
      <c r="F9" s="357"/>
      <c r="G9" s="358"/>
      <c r="H9" s="66"/>
      <c r="I9" s="67"/>
      <c r="J9" s="66"/>
      <c r="K9" s="67"/>
    </row>
    <row r="10" spans="2:12" x14ac:dyDescent="0.25">
      <c r="B10" s="332"/>
      <c r="C10" s="46">
        <v>7</v>
      </c>
      <c r="D10" s="359" t="s">
        <v>162</v>
      </c>
      <c r="E10" s="360"/>
      <c r="F10" s="360"/>
      <c r="G10" s="361"/>
      <c r="H10" s="68"/>
      <c r="I10" s="69"/>
      <c r="J10" s="68"/>
      <c r="K10" s="69"/>
    </row>
    <row r="11" spans="2:12" ht="14.4" thickBot="1" x14ac:dyDescent="0.3">
      <c r="B11" s="332"/>
      <c r="C11" s="47">
        <v>8</v>
      </c>
      <c r="D11" s="341" t="s">
        <v>163</v>
      </c>
      <c r="E11" s="342"/>
      <c r="F11" s="342"/>
      <c r="G11" s="343"/>
      <c r="H11" s="70"/>
      <c r="I11" s="71"/>
      <c r="J11" s="70"/>
      <c r="K11" s="71"/>
    </row>
    <row r="12" spans="2:12" ht="14.4" thickBot="1" x14ac:dyDescent="0.3">
      <c r="B12" s="333"/>
      <c r="C12" s="48">
        <v>9</v>
      </c>
      <c r="D12" s="453" t="s">
        <v>164</v>
      </c>
      <c r="E12" s="454"/>
      <c r="F12" s="454"/>
      <c r="G12" s="455"/>
      <c r="H12" s="72"/>
      <c r="I12" s="73"/>
      <c r="J12" s="72"/>
      <c r="K12" s="73"/>
    </row>
    <row r="13" spans="2:12" ht="7.95" customHeight="1" thickBot="1" x14ac:dyDescent="0.35">
      <c r="B13" s="40"/>
      <c r="C13" s="40"/>
      <c r="D13" s="49"/>
      <c r="E13" s="49"/>
      <c r="F13" s="49"/>
      <c r="G13" s="49"/>
      <c r="H13" s="40"/>
      <c r="I13" s="40"/>
      <c r="J13" s="40"/>
      <c r="K13" s="40"/>
    </row>
    <row r="14" spans="2:12" x14ac:dyDescent="0.25">
      <c r="B14" s="383" t="s">
        <v>153</v>
      </c>
      <c r="C14" s="41">
        <v>10</v>
      </c>
      <c r="D14" s="431" t="s">
        <v>165</v>
      </c>
      <c r="E14" s="432"/>
      <c r="F14" s="432"/>
      <c r="G14" s="433"/>
      <c r="H14" s="402"/>
      <c r="I14" s="403"/>
      <c r="J14" s="402"/>
      <c r="K14" s="403"/>
    </row>
    <row r="15" spans="2:12" x14ac:dyDescent="0.25">
      <c r="B15" s="332"/>
      <c r="C15" s="42">
        <v>11</v>
      </c>
      <c r="D15" s="445" t="s">
        <v>166</v>
      </c>
      <c r="E15" s="446"/>
      <c r="F15" s="446"/>
      <c r="G15" s="447"/>
      <c r="H15" s="440"/>
      <c r="I15" s="441"/>
      <c r="J15" s="440"/>
      <c r="K15" s="441"/>
    </row>
    <row r="16" spans="2:12" x14ac:dyDescent="0.25">
      <c r="B16" s="332"/>
      <c r="C16" s="42">
        <v>12</v>
      </c>
      <c r="D16" s="445" t="s">
        <v>167</v>
      </c>
      <c r="E16" s="446"/>
      <c r="F16" s="446"/>
      <c r="G16" s="447"/>
      <c r="H16" s="440"/>
      <c r="I16" s="441"/>
      <c r="J16" s="440"/>
      <c r="K16" s="441"/>
    </row>
    <row r="17" spans="2:11" x14ac:dyDescent="0.25">
      <c r="B17" s="332"/>
      <c r="C17" s="42">
        <v>13</v>
      </c>
      <c r="D17" s="434" t="s">
        <v>168</v>
      </c>
      <c r="E17" s="435"/>
      <c r="F17" s="435"/>
      <c r="G17" s="436"/>
      <c r="H17" s="440"/>
      <c r="I17" s="441"/>
      <c r="J17" s="440"/>
      <c r="K17" s="441"/>
    </row>
    <row r="18" spans="2:11" ht="14.4" thickBot="1" x14ac:dyDescent="0.3">
      <c r="B18" s="332"/>
      <c r="C18" s="43">
        <v>14</v>
      </c>
      <c r="D18" s="442" t="s">
        <v>169</v>
      </c>
      <c r="E18" s="443"/>
      <c r="F18" s="443"/>
      <c r="G18" s="444"/>
      <c r="H18" s="426"/>
      <c r="I18" s="427"/>
      <c r="J18" s="426"/>
      <c r="K18" s="427"/>
    </row>
    <row r="19" spans="2:11" x14ac:dyDescent="0.25">
      <c r="B19" s="332"/>
      <c r="C19" s="45">
        <v>15</v>
      </c>
      <c r="D19" s="356" t="s">
        <v>161</v>
      </c>
      <c r="E19" s="357"/>
      <c r="F19" s="357"/>
      <c r="G19" s="358"/>
      <c r="H19" s="66"/>
      <c r="I19" s="67"/>
      <c r="J19" s="66"/>
      <c r="K19" s="67"/>
    </row>
    <row r="20" spans="2:11" ht="14.4" thickBot="1" x14ac:dyDescent="0.3">
      <c r="B20" s="332"/>
      <c r="C20" s="50">
        <v>16</v>
      </c>
      <c r="D20" s="437" t="s">
        <v>162</v>
      </c>
      <c r="E20" s="438"/>
      <c r="F20" s="438"/>
      <c r="G20" s="439"/>
      <c r="H20" s="70"/>
      <c r="I20" s="71"/>
      <c r="J20" s="70"/>
      <c r="K20" s="71"/>
    </row>
    <row r="21" spans="2:11" x14ac:dyDescent="0.25">
      <c r="B21" s="332"/>
      <c r="C21" s="51">
        <v>17</v>
      </c>
      <c r="D21" s="408" t="s">
        <v>170</v>
      </c>
      <c r="E21" s="409"/>
      <c r="F21" s="409"/>
      <c r="G21" s="410"/>
      <c r="H21" s="66"/>
      <c r="I21" s="67"/>
      <c r="J21" s="66"/>
      <c r="K21" s="67"/>
    </row>
    <row r="22" spans="2:11" ht="14.4" thickBot="1" x14ac:dyDescent="0.3">
      <c r="B22" s="333"/>
      <c r="C22" s="52">
        <v>18</v>
      </c>
      <c r="D22" s="413" t="s">
        <v>171</v>
      </c>
      <c r="E22" s="376"/>
      <c r="F22" s="376"/>
      <c r="G22" s="414"/>
      <c r="H22" s="70"/>
      <c r="I22" s="71"/>
      <c r="J22" s="70"/>
      <c r="K22" s="71"/>
    </row>
    <row r="23" spans="2:11" ht="7.95" customHeight="1" thickBot="1" x14ac:dyDescent="0.35">
      <c r="B23" s="40"/>
      <c r="C23" s="40"/>
      <c r="D23" s="49"/>
      <c r="E23" s="49"/>
      <c r="F23" s="49"/>
      <c r="G23" s="49"/>
      <c r="H23" s="367"/>
      <c r="I23" s="367"/>
      <c r="J23" s="367"/>
      <c r="K23" s="367"/>
    </row>
    <row r="24" spans="2:11" x14ac:dyDescent="0.25">
      <c r="B24" s="383" t="s">
        <v>154</v>
      </c>
      <c r="C24" s="41">
        <v>19</v>
      </c>
      <c r="D24" s="334" t="s">
        <v>172</v>
      </c>
      <c r="E24" s="335"/>
      <c r="F24" s="335"/>
      <c r="G24" s="422"/>
      <c r="H24" s="402"/>
      <c r="I24" s="403"/>
      <c r="J24" s="402"/>
      <c r="K24" s="403"/>
    </row>
    <row r="25" spans="2:11" ht="14.4" thickBot="1" x14ac:dyDescent="0.3">
      <c r="B25" s="332"/>
      <c r="C25" s="53">
        <v>20</v>
      </c>
      <c r="D25" s="423" t="s">
        <v>173</v>
      </c>
      <c r="E25" s="424"/>
      <c r="F25" s="424"/>
      <c r="G25" s="425"/>
      <c r="H25" s="426"/>
      <c r="I25" s="427"/>
      <c r="J25" s="426"/>
      <c r="K25" s="427"/>
    </row>
    <row r="26" spans="2:11" ht="14.4" thickBot="1" x14ac:dyDescent="0.3">
      <c r="B26" s="331"/>
      <c r="C26" s="54">
        <v>21</v>
      </c>
      <c r="D26" s="428" t="s">
        <v>174</v>
      </c>
      <c r="E26" s="429"/>
      <c r="F26" s="429"/>
      <c r="G26" s="430"/>
      <c r="H26" s="365"/>
      <c r="I26" s="366"/>
      <c r="J26" s="365"/>
      <c r="K26" s="366"/>
    </row>
    <row r="27" spans="2:11" x14ac:dyDescent="0.25">
      <c r="B27" s="331"/>
      <c r="C27" s="45">
        <v>22</v>
      </c>
      <c r="D27" s="356" t="s">
        <v>175</v>
      </c>
      <c r="E27" s="357"/>
      <c r="F27" s="357"/>
      <c r="G27" s="358"/>
      <c r="H27" s="74"/>
      <c r="I27" s="67"/>
      <c r="J27" s="66"/>
      <c r="K27" s="67"/>
    </row>
    <row r="28" spans="2:11" x14ac:dyDescent="0.25">
      <c r="B28" s="331"/>
      <c r="C28" s="46">
        <v>23</v>
      </c>
      <c r="D28" s="359" t="s">
        <v>176</v>
      </c>
      <c r="E28" s="360"/>
      <c r="F28" s="360"/>
      <c r="G28" s="361"/>
      <c r="H28" s="75"/>
      <c r="I28" s="69"/>
      <c r="J28" s="68"/>
      <c r="K28" s="69"/>
    </row>
    <row r="29" spans="2:11" x14ac:dyDescent="0.25">
      <c r="B29" s="331"/>
      <c r="C29" s="46">
        <v>24</v>
      </c>
      <c r="D29" s="359" t="s">
        <v>177</v>
      </c>
      <c r="E29" s="360"/>
      <c r="F29" s="360"/>
      <c r="G29" s="361"/>
      <c r="H29" s="75"/>
      <c r="I29" s="69"/>
      <c r="J29" s="68"/>
      <c r="K29" s="69"/>
    </row>
    <row r="30" spans="2:11" ht="14.4" thickBot="1" x14ac:dyDescent="0.3">
      <c r="B30" s="331"/>
      <c r="C30" s="50">
        <v>25</v>
      </c>
      <c r="D30" s="419" t="s">
        <v>178</v>
      </c>
      <c r="E30" s="420"/>
      <c r="F30" s="420"/>
      <c r="G30" s="421"/>
      <c r="H30" s="76"/>
      <c r="I30" s="77"/>
      <c r="J30" s="78"/>
      <c r="K30" s="77"/>
    </row>
    <row r="31" spans="2:11" x14ac:dyDescent="0.25">
      <c r="B31" s="331"/>
      <c r="C31" s="55">
        <v>26</v>
      </c>
      <c r="D31" s="408" t="s">
        <v>143</v>
      </c>
      <c r="E31" s="409"/>
      <c r="F31" s="409"/>
      <c r="G31" s="415"/>
      <c r="H31" s="402"/>
      <c r="I31" s="403"/>
      <c r="J31" s="402"/>
      <c r="K31" s="403"/>
    </row>
    <row r="32" spans="2:11" x14ac:dyDescent="0.25">
      <c r="B32" s="331"/>
      <c r="C32" s="56">
        <v>27</v>
      </c>
      <c r="D32" s="416" t="s">
        <v>179</v>
      </c>
      <c r="E32" s="373"/>
      <c r="F32" s="373"/>
      <c r="G32" s="374"/>
      <c r="H32" s="68"/>
      <c r="I32" s="69"/>
      <c r="J32" s="68"/>
      <c r="K32" s="69"/>
    </row>
    <row r="33" spans="2:11" ht="14.4" thickBot="1" x14ac:dyDescent="0.3">
      <c r="B33" s="344"/>
      <c r="C33" s="57">
        <v>28</v>
      </c>
      <c r="D33" s="413" t="s">
        <v>180</v>
      </c>
      <c r="E33" s="376"/>
      <c r="F33" s="376"/>
      <c r="G33" s="377"/>
      <c r="H33" s="417">
        <f>H24-I32</f>
        <v>0</v>
      </c>
      <c r="I33" s="418"/>
      <c r="J33" s="417">
        <f>J24-K32</f>
        <v>0</v>
      </c>
      <c r="K33" s="418"/>
    </row>
    <row r="34" spans="2:11" ht="7.95" customHeight="1" thickBot="1" x14ac:dyDescent="0.35">
      <c r="B34" s="58"/>
      <c r="C34" s="40"/>
      <c r="D34" s="49"/>
      <c r="E34" s="49"/>
      <c r="F34" s="49"/>
      <c r="G34" s="49"/>
      <c r="H34" s="40"/>
      <c r="I34" s="40"/>
      <c r="J34" s="40"/>
      <c r="K34" s="40"/>
    </row>
    <row r="35" spans="2:11" x14ac:dyDescent="0.25">
      <c r="B35" s="330" t="s">
        <v>155</v>
      </c>
      <c r="C35" s="59">
        <v>29</v>
      </c>
      <c r="D35" s="345" t="s">
        <v>181</v>
      </c>
      <c r="E35" s="346"/>
      <c r="F35" s="346"/>
      <c r="G35" s="401"/>
      <c r="H35" s="402"/>
      <c r="I35" s="403"/>
      <c r="J35" s="402"/>
      <c r="K35" s="403"/>
    </row>
    <row r="36" spans="2:11" x14ac:dyDescent="0.25">
      <c r="B36" s="331"/>
      <c r="C36" s="60">
        <v>30</v>
      </c>
      <c r="D36" s="318" t="s">
        <v>182</v>
      </c>
      <c r="E36" s="328"/>
      <c r="F36" s="328"/>
      <c r="G36" s="404"/>
      <c r="H36" s="62"/>
      <c r="I36" s="63"/>
      <c r="J36" s="62"/>
      <c r="K36" s="63"/>
    </row>
    <row r="37" spans="2:11" ht="14.4" thickBot="1" x14ac:dyDescent="0.3">
      <c r="B37" s="331"/>
      <c r="C37" s="61">
        <v>31</v>
      </c>
      <c r="D37" s="405" t="s">
        <v>183</v>
      </c>
      <c r="E37" s="406"/>
      <c r="F37" s="406"/>
      <c r="G37" s="407"/>
      <c r="H37" s="79"/>
      <c r="I37" s="80"/>
      <c r="J37" s="79"/>
      <c r="K37" s="80"/>
    </row>
    <row r="38" spans="2:11" ht="14.4" x14ac:dyDescent="0.3">
      <c r="B38" s="331"/>
      <c r="C38" s="51">
        <v>32</v>
      </c>
      <c r="D38" s="408" t="s">
        <v>184</v>
      </c>
      <c r="E38" s="409"/>
      <c r="F38" s="409"/>
      <c r="G38" s="410"/>
      <c r="H38" s="411"/>
      <c r="I38" s="412"/>
      <c r="J38" s="411"/>
      <c r="K38" s="412"/>
    </row>
    <row r="39" spans="2:11" ht="15" thickBot="1" x14ac:dyDescent="0.35">
      <c r="B39" s="344"/>
      <c r="C39" s="52">
        <v>33</v>
      </c>
      <c r="D39" s="413" t="s">
        <v>185</v>
      </c>
      <c r="E39" s="376"/>
      <c r="F39" s="376"/>
      <c r="G39" s="414"/>
      <c r="H39" s="387"/>
      <c r="I39" s="388"/>
      <c r="J39" s="387"/>
      <c r="K39" s="388"/>
    </row>
    <row r="40" spans="2:11" ht="7.95" customHeight="1" thickBot="1" x14ac:dyDescent="0.3"/>
    <row r="41" spans="2:11" ht="15" thickBot="1" x14ac:dyDescent="0.35">
      <c r="B41" s="398" t="s">
        <v>8</v>
      </c>
      <c r="C41" s="399"/>
      <c r="D41" s="399"/>
      <c r="E41" s="399"/>
      <c r="F41" s="399"/>
      <c r="G41" s="399"/>
      <c r="H41" s="399"/>
      <c r="I41" s="399"/>
      <c r="J41" s="399"/>
      <c r="K41" s="400"/>
    </row>
    <row r="42" spans="2:11" ht="14.4" customHeight="1" x14ac:dyDescent="0.25">
      <c r="B42" s="389"/>
      <c r="C42" s="390"/>
      <c r="D42" s="390"/>
      <c r="E42" s="390"/>
      <c r="F42" s="390"/>
      <c r="G42" s="390"/>
      <c r="H42" s="390"/>
      <c r="I42" s="390"/>
      <c r="J42" s="390"/>
      <c r="K42" s="391"/>
    </row>
    <row r="43" spans="2:11" ht="14.4" customHeight="1" x14ac:dyDescent="0.25">
      <c r="B43" s="392"/>
      <c r="C43" s="393"/>
      <c r="D43" s="393"/>
      <c r="E43" s="393"/>
      <c r="F43" s="393"/>
      <c r="G43" s="393"/>
      <c r="H43" s="393"/>
      <c r="I43" s="393"/>
      <c r="J43" s="393"/>
      <c r="K43" s="394"/>
    </row>
    <row r="44" spans="2:11" ht="14.4" customHeight="1" x14ac:dyDescent="0.25">
      <c r="B44" s="392"/>
      <c r="C44" s="393"/>
      <c r="D44" s="393"/>
      <c r="E44" s="393"/>
      <c r="F44" s="393"/>
      <c r="G44" s="393"/>
      <c r="H44" s="393"/>
      <c r="I44" s="393"/>
      <c r="J44" s="393"/>
      <c r="K44" s="394"/>
    </row>
    <row r="45" spans="2:11" ht="14.4" customHeight="1" x14ac:dyDescent="0.25">
      <c r="B45" s="392"/>
      <c r="C45" s="393"/>
      <c r="D45" s="393"/>
      <c r="E45" s="393"/>
      <c r="F45" s="393"/>
      <c r="G45" s="393"/>
      <c r="H45" s="393"/>
      <c r="I45" s="393"/>
      <c r="J45" s="393"/>
      <c r="K45" s="394"/>
    </row>
    <row r="46" spans="2:11" ht="14.4" customHeight="1" x14ac:dyDescent="0.25">
      <c r="B46" s="392"/>
      <c r="C46" s="393"/>
      <c r="D46" s="393"/>
      <c r="E46" s="393"/>
      <c r="F46" s="393"/>
      <c r="G46" s="393"/>
      <c r="H46" s="393"/>
      <c r="I46" s="393"/>
      <c r="J46" s="393"/>
      <c r="K46" s="394"/>
    </row>
    <row r="47" spans="2:11" ht="14.4" customHeight="1" x14ac:dyDescent="0.25">
      <c r="B47" s="392"/>
      <c r="C47" s="393"/>
      <c r="D47" s="393"/>
      <c r="E47" s="393"/>
      <c r="F47" s="393"/>
      <c r="G47" s="393"/>
      <c r="H47" s="393"/>
      <c r="I47" s="393"/>
      <c r="J47" s="393"/>
      <c r="K47" s="394"/>
    </row>
    <row r="48" spans="2:11" ht="14.4" customHeight="1" x14ac:dyDescent="0.25">
      <c r="B48" s="392"/>
      <c r="C48" s="393"/>
      <c r="D48" s="393"/>
      <c r="E48" s="393"/>
      <c r="F48" s="393"/>
      <c r="G48" s="393"/>
      <c r="H48" s="393"/>
      <c r="I48" s="393"/>
      <c r="J48" s="393"/>
      <c r="K48" s="394"/>
    </row>
    <row r="49" spans="2:11" ht="14.4" customHeight="1" x14ac:dyDescent="0.25">
      <c r="B49" s="392"/>
      <c r="C49" s="393"/>
      <c r="D49" s="393"/>
      <c r="E49" s="393"/>
      <c r="F49" s="393"/>
      <c r="G49" s="393"/>
      <c r="H49" s="393"/>
      <c r="I49" s="393"/>
      <c r="J49" s="393"/>
      <c r="K49" s="394"/>
    </row>
    <row r="50" spans="2:11" ht="14.4" customHeight="1" thickBot="1" x14ac:dyDescent="0.3">
      <c r="B50" s="395"/>
      <c r="C50" s="396"/>
      <c r="D50" s="396"/>
      <c r="E50" s="396"/>
      <c r="F50" s="396"/>
      <c r="G50" s="396"/>
      <c r="H50" s="396"/>
      <c r="I50" s="396"/>
      <c r="J50" s="396"/>
      <c r="K50" s="397"/>
    </row>
    <row r="51" spans="2:11" ht="14.4" thickBot="1" x14ac:dyDescent="0.3">
      <c r="B51" s="264" t="s">
        <v>410</v>
      </c>
      <c r="C51" s="265"/>
      <c r="D51" s="265"/>
      <c r="E51" s="265"/>
      <c r="F51" s="265"/>
      <c r="G51" s="265"/>
      <c r="H51" s="265"/>
      <c r="I51" s="265"/>
      <c r="J51" s="265"/>
      <c r="K51" s="266"/>
    </row>
    <row r="52" spans="2:11" ht="7.95" customHeight="1" thickBot="1" x14ac:dyDescent="0.3"/>
    <row r="53" spans="2:11" ht="13.8" customHeight="1" thickBot="1" x14ac:dyDescent="0.3">
      <c r="H53" s="309" t="s">
        <v>49</v>
      </c>
      <c r="I53" s="310"/>
      <c r="J53" s="309" t="s">
        <v>50</v>
      </c>
      <c r="K53" s="386"/>
    </row>
    <row r="54" spans="2:11" x14ac:dyDescent="0.25">
      <c r="B54" s="383" t="s">
        <v>152</v>
      </c>
      <c r="C54" s="41">
        <v>41</v>
      </c>
      <c r="D54" s="334" t="s">
        <v>186</v>
      </c>
      <c r="E54" s="335"/>
      <c r="F54" s="335"/>
      <c r="G54" s="335"/>
      <c r="H54" s="336"/>
      <c r="I54" s="337"/>
      <c r="J54" s="336"/>
      <c r="K54" s="337"/>
    </row>
    <row r="55" spans="2:11" x14ac:dyDescent="0.25">
      <c r="B55" s="332"/>
      <c r="C55" s="81">
        <v>42</v>
      </c>
      <c r="D55" s="384" t="s">
        <v>187</v>
      </c>
      <c r="E55" s="385"/>
      <c r="F55" s="385"/>
      <c r="G55" s="385"/>
      <c r="H55" s="348"/>
      <c r="I55" s="349"/>
      <c r="J55" s="348"/>
      <c r="K55" s="349"/>
    </row>
    <row r="56" spans="2:11" x14ac:dyDescent="0.25">
      <c r="B56" s="332"/>
      <c r="C56" s="81">
        <v>43</v>
      </c>
      <c r="D56" s="384" t="s">
        <v>188</v>
      </c>
      <c r="E56" s="385"/>
      <c r="F56" s="385"/>
      <c r="G56" s="385"/>
      <c r="H56" s="348"/>
      <c r="I56" s="349"/>
      <c r="J56" s="348"/>
      <c r="K56" s="349"/>
    </row>
    <row r="57" spans="2:11" x14ac:dyDescent="0.25">
      <c r="B57" s="332"/>
      <c r="C57" s="81">
        <v>44</v>
      </c>
      <c r="D57" s="384" t="s">
        <v>189</v>
      </c>
      <c r="E57" s="385"/>
      <c r="F57" s="385"/>
      <c r="G57" s="385"/>
      <c r="H57" s="348"/>
      <c r="I57" s="349"/>
      <c r="J57" s="348"/>
      <c r="K57" s="349"/>
    </row>
    <row r="58" spans="2:11" x14ac:dyDescent="0.25">
      <c r="B58" s="332"/>
      <c r="C58" s="81">
        <v>45</v>
      </c>
      <c r="D58" s="384" t="s">
        <v>190</v>
      </c>
      <c r="E58" s="385"/>
      <c r="F58" s="385"/>
      <c r="G58" s="385"/>
      <c r="H58" s="348"/>
      <c r="I58" s="349"/>
      <c r="J58" s="348"/>
      <c r="K58" s="349"/>
    </row>
    <row r="59" spans="2:11" ht="14.4" thickBot="1" x14ac:dyDescent="0.3">
      <c r="B59" s="332"/>
      <c r="C59" s="53">
        <v>46</v>
      </c>
      <c r="D59" s="352" t="s">
        <v>191</v>
      </c>
      <c r="E59" s="353"/>
      <c r="F59" s="353"/>
      <c r="G59" s="353"/>
      <c r="H59" s="378"/>
      <c r="I59" s="379"/>
      <c r="J59" s="378"/>
      <c r="K59" s="379"/>
    </row>
    <row r="60" spans="2:11" x14ac:dyDescent="0.25">
      <c r="B60" s="332"/>
      <c r="C60" s="45">
        <v>47</v>
      </c>
      <c r="D60" s="380" t="s">
        <v>192</v>
      </c>
      <c r="E60" s="381"/>
      <c r="F60" s="381"/>
      <c r="G60" s="382"/>
      <c r="H60" s="66"/>
      <c r="I60" s="67"/>
      <c r="J60" s="66"/>
      <c r="K60" s="67"/>
    </row>
    <row r="61" spans="2:11" x14ac:dyDescent="0.25">
      <c r="B61" s="332"/>
      <c r="C61" s="46">
        <v>48</v>
      </c>
      <c r="D61" s="368" t="s">
        <v>193</v>
      </c>
      <c r="E61" s="360"/>
      <c r="F61" s="360"/>
      <c r="G61" s="369"/>
      <c r="H61" s="68"/>
      <c r="I61" s="69"/>
      <c r="J61" s="68"/>
      <c r="K61" s="69"/>
    </row>
    <row r="62" spans="2:11" ht="14.4" thickBot="1" x14ac:dyDescent="0.3">
      <c r="B62" s="332"/>
      <c r="C62" s="50">
        <v>49</v>
      </c>
      <c r="D62" s="370" t="s">
        <v>194</v>
      </c>
      <c r="E62" s="342"/>
      <c r="F62" s="342"/>
      <c r="G62" s="371"/>
      <c r="H62" s="70"/>
      <c r="I62" s="71"/>
      <c r="J62" s="70"/>
      <c r="K62" s="71"/>
    </row>
    <row r="63" spans="2:11" x14ac:dyDescent="0.25">
      <c r="B63" s="332"/>
      <c r="C63" s="51">
        <v>50</v>
      </c>
      <c r="D63" s="372" t="s">
        <v>195</v>
      </c>
      <c r="E63" s="373"/>
      <c r="F63" s="373"/>
      <c r="G63" s="374"/>
      <c r="H63" s="66"/>
      <c r="I63" s="67"/>
      <c r="J63" s="66"/>
      <c r="K63" s="67"/>
    </row>
    <row r="64" spans="2:11" x14ac:dyDescent="0.25">
      <c r="B64" s="332"/>
      <c r="C64" s="82">
        <v>51</v>
      </c>
      <c r="D64" s="372" t="s">
        <v>196</v>
      </c>
      <c r="E64" s="373"/>
      <c r="F64" s="373"/>
      <c r="G64" s="374"/>
      <c r="H64" s="68"/>
      <c r="I64" s="69"/>
      <c r="J64" s="68"/>
      <c r="K64" s="69"/>
    </row>
    <row r="65" spans="2:11" ht="14.4" thickBot="1" x14ac:dyDescent="0.3">
      <c r="B65" s="333"/>
      <c r="C65" s="52">
        <v>52</v>
      </c>
      <c r="D65" s="375" t="s">
        <v>197</v>
      </c>
      <c r="E65" s="376"/>
      <c r="F65" s="376"/>
      <c r="G65" s="377"/>
      <c r="H65" s="70"/>
      <c r="I65" s="71"/>
      <c r="J65" s="70"/>
      <c r="K65" s="71"/>
    </row>
    <row r="66" spans="2:11" ht="7.95" customHeight="1" thickBot="1" x14ac:dyDescent="0.35">
      <c r="B66" s="40"/>
      <c r="C66" s="40"/>
      <c r="D66" s="49"/>
      <c r="E66" s="49"/>
      <c r="F66" s="49"/>
      <c r="G66" s="49"/>
      <c r="H66" s="40"/>
      <c r="I66" s="40"/>
      <c r="J66" s="40"/>
      <c r="K66" s="40"/>
    </row>
    <row r="67" spans="2:11" ht="14.4" thickBot="1" x14ac:dyDescent="0.3">
      <c r="B67" s="83" t="s">
        <v>74</v>
      </c>
      <c r="C67" s="84">
        <v>53</v>
      </c>
      <c r="D67" s="362" t="s">
        <v>186</v>
      </c>
      <c r="E67" s="363"/>
      <c r="F67" s="363"/>
      <c r="G67" s="364"/>
      <c r="H67" s="365"/>
      <c r="I67" s="366"/>
      <c r="J67" s="365"/>
      <c r="K67" s="366"/>
    </row>
    <row r="68" spans="2:11" ht="7.95" customHeight="1" thickBot="1" x14ac:dyDescent="0.35">
      <c r="B68" s="40"/>
      <c r="C68" s="40"/>
      <c r="D68" s="49"/>
      <c r="E68" s="49"/>
      <c r="F68" s="49"/>
      <c r="G68" s="49"/>
      <c r="H68" s="367"/>
      <c r="I68" s="367"/>
      <c r="J68" s="367"/>
      <c r="K68" s="367"/>
    </row>
    <row r="69" spans="2:11" x14ac:dyDescent="0.25">
      <c r="B69" s="330" t="s">
        <v>154</v>
      </c>
      <c r="C69" s="41">
        <v>54</v>
      </c>
      <c r="D69" s="334" t="s">
        <v>198</v>
      </c>
      <c r="E69" s="335"/>
      <c r="F69" s="335"/>
      <c r="G69" s="335"/>
      <c r="H69" s="336"/>
      <c r="I69" s="337"/>
      <c r="J69" s="336"/>
      <c r="K69" s="337"/>
    </row>
    <row r="70" spans="2:11" x14ac:dyDescent="0.25">
      <c r="B70" s="331"/>
      <c r="C70" s="42">
        <v>55</v>
      </c>
      <c r="D70" s="350" t="s">
        <v>199</v>
      </c>
      <c r="E70" s="351"/>
      <c r="F70" s="351"/>
      <c r="G70" s="351"/>
      <c r="H70" s="348"/>
      <c r="I70" s="349"/>
      <c r="J70" s="348"/>
      <c r="K70" s="349"/>
    </row>
    <row r="71" spans="2:11" ht="14.4" thickBot="1" x14ac:dyDescent="0.3">
      <c r="B71" s="331"/>
      <c r="C71" s="43">
        <v>56</v>
      </c>
      <c r="D71" s="352" t="s">
        <v>200</v>
      </c>
      <c r="E71" s="353"/>
      <c r="F71" s="353"/>
      <c r="G71" s="353"/>
      <c r="H71" s="354"/>
      <c r="I71" s="355"/>
      <c r="J71" s="354"/>
      <c r="K71" s="355"/>
    </row>
    <row r="72" spans="2:11" x14ac:dyDescent="0.25">
      <c r="B72" s="332"/>
      <c r="C72" s="45">
        <v>57</v>
      </c>
      <c r="D72" s="356" t="s">
        <v>201</v>
      </c>
      <c r="E72" s="357"/>
      <c r="F72" s="357"/>
      <c r="G72" s="358"/>
      <c r="H72" s="107"/>
      <c r="I72" s="108"/>
      <c r="J72" s="107"/>
      <c r="K72" s="108"/>
    </row>
    <row r="73" spans="2:11" x14ac:dyDescent="0.25">
      <c r="B73" s="332"/>
      <c r="C73" s="46">
        <v>58</v>
      </c>
      <c r="D73" s="359" t="s">
        <v>202</v>
      </c>
      <c r="E73" s="360"/>
      <c r="F73" s="360"/>
      <c r="G73" s="361"/>
      <c r="H73" s="68"/>
      <c r="I73" s="69"/>
      <c r="J73" s="68"/>
      <c r="K73" s="69"/>
    </row>
    <row r="74" spans="2:11" x14ac:dyDescent="0.25">
      <c r="B74" s="332"/>
      <c r="C74" s="46">
        <v>59</v>
      </c>
      <c r="D74" s="338" t="s">
        <v>203</v>
      </c>
      <c r="E74" s="339"/>
      <c r="F74" s="339"/>
      <c r="G74" s="340"/>
      <c r="H74" s="68"/>
      <c r="I74" s="69"/>
      <c r="J74" s="68"/>
      <c r="K74" s="69"/>
    </row>
    <row r="75" spans="2:11" ht="14.4" thickBot="1" x14ac:dyDescent="0.3">
      <c r="B75" s="333"/>
      <c r="C75" s="47">
        <v>60</v>
      </c>
      <c r="D75" s="341" t="s">
        <v>204</v>
      </c>
      <c r="E75" s="342"/>
      <c r="F75" s="342"/>
      <c r="G75" s="343"/>
      <c r="H75" s="70"/>
      <c r="I75" s="71"/>
      <c r="J75" s="70"/>
      <c r="K75" s="71"/>
    </row>
    <row r="76" spans="2:11" ht="7.95" customHeight="1" thickBot="1" x14ac:dyDescent="0.35">
      <c r="B76" s="58"/>
      <c r="C76" s="40"/>
      <c r="D76" s="49"/>
      <c r="E76" s="49"/>
      <c r="F76" s="49"/>
      <c r="G76" s="49"/>
      <c r="H76" s="40"/>
      <c r="I76" s="40"/>
      <c r="J76" s="40"/>
      <c r="K76" s="40"/>
    </row>
    <row r="77" spans="2:11" x14ac:dyDescent="0.25">
      <c r="B77" s="330" t="s">
        <v>155</v>
      </c>
      <c r="C77" s="59">
        <v>61</v>
      </c>
      <c r="D77" s="345" t="s">
        <v>205</v>
      </c>
      <c r="E77" s="346"/>
      <c r="F77" s="346"/>
      <c r="G77" s="347"/>
      <c r="H77" s="336"/>
      <c r="I77" s="337"/>
      <c r="J77" s="336"/>
      <c r="K77" s="337"/>
    </row>
    <row r="78" spans="2:11" x14ac:dyDescent="0.25">
      <c r="B78" s="331"/>
      <c r="C78" s="60">
        <v>62</v>
      </c>
      <c r="D78" s="318" t="s">
        <v>206</v>
      </c>
      <c r="E78" s="328"/>
      <c r="F78" s="328"/>
      <c r="G78" s="329"/>
      <c r="H78" s="62"/>
      <c r="I78" s="63"/>
      <c r="J78" s="62"/>
      <c r="K78" s="63"/>
    </row>
    <row r="79" spans="2:11" x14ac:dyDescent="0.25">
      <c r="B79" s="331"/>
      <c r="C79" s="60">
        <v>63</v>
      </c>
      <c r="D79" s="318" t="s">
        <v>207</v>
      </c>
      <c r="E79" s="328"/>
      <c r="F79" s="328"/>
      <c r="G79" s="329"/>
      <c r="H79" s="348"/>
      <c r="I79" s="349"/>
      <c r="J79" s="348"/>
      <c r="K79" s="349"/>
    </row>
    <row r="80" spans="2:11" ht="14.4" x14ac:dyDescent="0.3">
      <c r="B80" s="331"/>
      <c r="C80" s="60">
        <v>64</v>
      </c>
      <c r="D80" s="318" t="s">
        <v>208</v>
      </c>
      <c r="E80" s="328"/>
      <c r="F80" s="328"/>
      <c r="G80" s="329"/>
      <c r="H80" s="321"/>
      <c r="I80" s="322"/>
      <c r="J80" s="321"/>
      <c r="K80" s="322"/>
    </row>
    <row r="81" spans="2:11" ht="14.4" x14ac:dyDescent="0.3">
      <c r="B81" s="331"/>
      <c r="C81" s="60">
        <v>65</v>
      </c>
      <c r="D81" s="318" t="s">
        <v>209</v>
      </c>
      <c r="E81" s="328"/>
      <c r="F81" s="328"/>
      <c r="G81" s="329"/>
      <c r="H81" s="321"/>
      <c r="I81" s="322"/>
      <c r="J81" s="321"/>
      <c r="K81" s="322"/>
    </row>
    <row r="82" spans="2:11" ht="14.4" x14ac:dyDescent="0.3">
      <c r="B82" s="331"/>
      <c r="C82" s="60">
        <v>66</v>
      </c>
      <c r="D82" s="318" t="s">
        <v>210</v>
      </c>
      <c r="E82" s="328"/>
      <c r="F82" s="328"/>
      <c r="G82" s="329"/>
      <c r="H82" s="321"/>
      <c r="I82" s="322"/>
      <c r="J82" s="321"/>
      <c r="K82" s="322"/>
    </row>
    <row r="83" spans="2:11" ht="14.4" x14ac:dyDescent="0.3">
      <c r="B83" s="331"/>
      <c r="C83" s="60">
        <v>67</v>
      </c>
      <c r="D83" s="318" t="s">
        <v>211</v>
      </c>
      <c r="E83" s="328"/>
      <c r="F83" s="328"/>
      <c r="G83" s="329"/>
      <c r="H83" s="321"/>
      <c r="I83" s="322"/>
      <c r="J83" s="321"/>
      <c r="K83" s="322"/>
    </row>
    <row r="84" spans="2:11" ht="14.4" x14ac:dyDescent="0.3">
      <c r="B84" s="331"/>
      <c r="C84" s="60">
        <v>68</v>
      </c>
      <c r="D84" s="318" t="s">
        <v>212</v>
      </c>
      <c r="E84" s="319"/>
      <c r="F84" s="319"/>
      <c r="G84" s="320"/>
      <c r="H84" s="321"/>
      <c r="I84" s="322"/>
      <c r="J84" s="321"/>
      <c r="K84" s="322"/>
    </row>
    <row r="85" spans="2:11" ht="14.4" x14ac:dyDescent="0.3">
      <c r="B85" s="331"/>
      <c r="C85" s="60">
        <v>69</v>
      </c>
      <c r="D85" s="318" t="s">
        <v>213</v>
      </c>
      <c r="E85" s="319"/>
      <c r="F85" s="319"/>
      <c r="G85" s="320"/>
      <c r="H85" s="321"/>
      <c r="I85" s="322"/>
      <c r="J85" s="321"/>
      <c r="K85" s="322"/>
    </row>
    <row r="86" spans="2:11" ht="15" thickBot="1" x14ac:dyDescent="0.35">
      <c r="B86" s="344"/>
      <c r="C86" s="85">
        <v>70</v>
      </c>
      <c r="D86" s="323" t="s">
        <v>214</v>
      </c>
      <c r="E86" s="324"/>
      <c r="F86" s="324"/>
      <c r="G86" s="325"/>
      <c r="H86" s="326"/>
      <c r="I86" s="327"/>
      <c r="J86" s="326"/>
      <c r="K86" s="327"/>
    </row>
    <row r="87" spans="2:11" ht="14.4" thickBot="1" x14ac:dyDescent="0.3"/>
    <row r="88" spans="2:11" ht="14.4" thickBot="1" x14ac:dyDescent="0.3">
      <c r="B88" s="87" t="s">
        <v>215</v>
      </c>
      <c r="C88" s="88"/>
      <c r="D88" s="88"/>
      <c r="E88" s="89" t="s">
        <v>50</v>
      </c>
      <c r="F88" s="90" t="s">
        <v>49</v>
      </c>
      <c r="G88" s="86"/>
    </row>
    <row r="89" spans="2:11" x14ac:dyDescent="0.25">
      <c r="B89" s="314">
        <v>34</v>
      </c>
      <c r="C89" s="315"/>
      <c r="D89" s="95" t="s">
        <v>216</v>
      </c>
      <c r="E89" s="109" t="s">
        <v>217</v>
      </c>
      <c r="F89" s="110" t="s">
        <v>217</v>
      </c>
    </row>
    <row r="90" spans="2:11" ht="14.4" thickBot="1" x14ac:dyDescent="0.3">
      <c r="B90" s="301">
        <v>35</v>
      </c>
      <c r="C90" s="302"/>
      <c r="D90" s="96" t="s">
        <v>218</v>
      </c>
      <c r="E90" s="112" t="s">
        <v>217</v>
      </c>
      <c r="F90" s="111" t="s">
        <v>217</v>
      </c>
    </row>
    <row r="91" spans="2:11" ht="14.4" thickBot="1" x14ac:dyDescent="0.3"/>
    <row r="92" spans="2:11" ht="14.4" thickBot="1" x14ac:dyDescent="0.3">
      <c r="B92" s="311" t="s">
        <v>399</v>
      </c>
      <c r="C92" s="312"/>
      <c r="D92" s="312"/>
      <c r="E92" s="312"/>
      <c r="F92" s="313"/>
    </row>
    <row r="93" spans="2:11" x14ac:dyDescent="0.25">
      <c r="B93" s="314">
        <v>36</v>
      </c>
      <c r="C93" s="315"/>
      <c r="D93" s="303" t="s">
        <v>309</v>
      </c>
      <c r="E93" s="304"/>
      <c r="F93" s="113" t="s">
        <v>260</v>
      </c>
    </row>
    <row r="94" spans="2:11" x14ac:dyDescent="0.25">
      <c r="B94" s="316">
        <v>37</v>
      </c>
      <c r="C94" s="317"/>
      <c r="D94" s="94" t="s">
        <v>400</v>
      </c>
      <c r="E94" s="93"/>
      <c r="F94" s="114" t="s">
        <v>260</v>
      </c>
    </row>
    <row r="95" spans="2:11" x14ac:dyDescent="0.25">
      <c r="B95" s="316">
        <v>38</v>
      </c>
      <c r="C95" s="317"/>
      <c r="D95" s="305" t="s">
        <v>401</v>
      </c>
      <c r="E95" s="306"/>
      <c r="F95" s="114"/>
    </row>
    <row r="96" spans="2:11" ht="14.4" thickBot="1" x14ac:dyDescent="0.3">
      <c r="B96" s="301">
        <v>39</v>
      </c>
      <c r="C96" s="302"/>
      <c r="D96" s="307" t="s">
        <v>402</v>
      </c>
      <c r="E96" s="308"/>
      <c r="F96" s="115"/>
    </row>
  </sheetData>
  <sheetProtection algorithmName="SHA-512" hashValue="narJtLTxKI4C+nQWVBFJv/ZIq940eOGQHYbgK2r/Do3vlpt1KdxPERGbxdTTI8TRl2ZQgR8QICafXERwm+7RDg==" saltValue="hxbNnUx5MidejpcmVQclYw==" spinCount="100000" sheet="1" objects="1" scenarios="1" selectLockedCells="1"/>
  <mergeCells count="162">
    <mergeCell ref="D9:G9"/>
    <mergeCell ref="H3:I3"/>
    <mergeCell ref="J3:K3"/>
    <mergeCell ref="B4:B12"/>
    <mergeCell ref="D4:G4"/>
    <mergeCell ref="H4:I4"/>
    <mergeCell ref="J4:K4"/>
    <mergeCell ref="D5:G5"/>
    <mergeCell ref="H5:I5"/>
    <mergeCell ref="J5:K5"/>
    <mergeCell ref="D6:G6"/>
    <mergeCell ref="D7:G7"/>
    <mergeCell ref="D8:G8"/>
    <mergeCell ref="H8:I8"/>
    <mergeCell ref="J8:K8"/>
    <mergeCell ref="D10:G10"/>
    <mergeCell ref="D11:G11"/>
    <mergeCell ref="D12:G12"/>
    <mergeCell ref="B14:B22"/>
    <mergeCell ref="D14:G14"/>
    <mergeCell ref="D17:G17"/>
    <mergeCell ref="D21:G21"/>
    <mergeCell ref="D22:G22"/>
    <mergeCell ref="D20:G20"/>
    <mergeCell ref="D19:G19"/>
    <mergeCell ref="H17:I17"/>
    <mergeCell ref="J17:K17"/>
    <mergeCell ref="D18:G18"/>
    <mergeCell ref="H18:I18"/>
    <mergeCell ref="J18:K18"/>
    <mergeCell ref="J14:K14"/>
    <mergeCell ref="D15:G15"/>
    <mergeCell ref="H15:I15"/>
    <mergeCell ref="J15:K15"/>
    <mergeCell ref="D16:G16"/>
    <mergeCell ref="H16:I16"/>
    <mergeCell ref="J16:K16"/>
    <mergeCell ref="H14:I14"/>
    <mergeCell ref="J23:K23"/>
    <mergeCell ref="B24:B33"/>
    <mergeCell ref="D24:G24"/>
    <mergeCell ref="H24:I24"/>
    <mergeCell ref="J24:K24"/>
    <mergeCell ref="D25:G25"/>
    <mergeCell ref="H25:I25"/>
    <mergeCell ref="J25:K25"/>
    <mergeCell ref="D26:G26"/>
    <mergeCell ref="H26:I26"/>
    <mergeCell ref="J26:K26"/>
    <mergeCell ref="D27:G27"/>
    <mergeCell ref="D28:G28"/>
    <mergeCell ref="D29:G29"/>
    <mergeCell ref="H39:I39"/>
    <mergeCell ref="J39:K39"/>
    <mergeCell ref="B1:K1"/>
    <mergeCell ref="B42:K50"/>
    <mergeCell ref="B41:K41"/>
    <mergeCell ref="B35:B39"/>
    <mergeCell ref="D35:G35"/>
    <mergeCell ref="H35:I35"/>
    <mergeCell ref="J35:K35"/>
    <mergeCell ref="D36:G36"/>
    <mergeCell ref="D37:G37"/>
    <mergeCell ref="D38:G38"/>
    <mergeCell ref="H38:I38"/>
    <mergeCell ref="J38:K38"/>
    <mergeCell ref="D39:G39"/>
    <mergeCell ref="D31:G31"/>
    <mergeCell ref="H31:I31"/>
    <mergeCell ref="J31:K31"/>
    <mergeCell ref="D32:G32"/>
    <mergeCell ref="D33:G33"/>
    <mergeCell ref="H33:I33"/>
    <mergeCell ref="J33:K33"/>
    <mergeCell ref="D30:G30"/>
    <mergeCell ref="H23:I23"/>
    <mergeCell ref="J58:K58"/>
    <mergeCell ref="D59:G59"/>
    <mergeCell ref="H59:I59"/>
    <mergeCell ref="J59:K59"/>
    <mergeCell ref="D60:G60"/>
    <mergeCell ref="B51:K51"/>
    <mergeCell ref="B54:B65"/>
    <mergeCell ref="D54:G54"/>
    <mergeCell ref="H54:I54"/>
    <mergeCell ref="J54:K54"/>
    <mergeCell ref="D55:G55"/>
    <mergeCell ref="H55:I55"/>
    <mergeCell ref="J55:K55"/>
    <mergeCell ref="D56:G56"/>
    <mergeCell ref="H56:I56"/>
    <mergeCell ref="J56:K56"/>
    <mergeCell ref="D57:G57"/>
    <mergeCell ref="H57:I57"/>
    <mergeCell ref="J57:K57"/>
    <mergeCell ref="D58:G58"/>
    <mergeCell ref="H58:I58"/>
    <mergeCell ref="J53:K53"/>
    <mergeCell ref="D67:G67"/>
    <mergeCell ref="H67:I67"/>
    <mergeCell ref="J67:K67"/>
    <mergeCell ref="H68:I68"/>
    <mergeCell ref="J68:K68"/>
    <mergeCell ref="D61:G61"/>
    <mergeCell ref="D62:G62"/>
    <mergeCell ref="D63:G63"/>
    <mergeCell ref="D64:G64"/>
    <mergeCell ref="D65:G65"/>
    <mergeCell ref="J69:K69"/>
    <mergeCell ref="D70:G70"/>
    <mergeCell ref="H70:I70"/>
    <mergeCell ref="J70:K70"/>
    <mergeCell ref="D71:G71"/>
    <mergeCell ref="H71:I71"/>
    <mergeCell ref="J71:K71"/>
    <mergeCell ref="D72:G72"/>
    <mergeCell ref="D73:G73"/>
    <mergeCell ref="J84:K84"/>
    <mergeCell ref="B77:B86"/>
    <mergeCell ref="D77:G77"/>
    <mergeCell ref="H77:I77"/>
    <mergeCell ref="J77:K77"/>
    <mergeCell ref="D78:G78"/>
    <mergeCell ref="D79:G79"/>
    <mergeCell ref="H79:I79"/>
    <mergeCell ref="J79:K79"/>
    <mergeCell ref="D80:G80"/>
    <mergeCell ref="H80:I80"/>
    <mergeCell ref="J80:K80"/>
    <mergeCell ref="D81:G81"/>
    <mergeCell ref="H81:I81"/>
    <mergeCell ref="J81:K81"/>
    <mergeCell ref="D82:G82"/>
    <mergeCell ref="H82:I82"/>
    <mergeCell ref="J85:K85"/>
    <mergeCell ref="J86:K86"/>
    <mergeCell ref="J82:K82"/>
    <mergeCell ref="J83:K83"/>
    <mergeCell ref="B96:C96"/>
    <mergeCell ref="D93:E93"/>
    <mergeCell ref="D95:E95"/>
    <mergeCell ref="D96:E96"/>
    <mergeCell ref="H53:I53"/>
    <mergeCell ref="B92:F92"/>
    <mergeCell ref="B93:C93"/>
    <mergeCell ref="B94:C94"/>
    <mergeCell ref="B95:C95"/>
    <mergeCell ref="B89:C89"/>
    <mergeCell ref="B90:C90"/>
    <mergeCell ref="D85:G85"/>
    <mergeCell ref="H85:I85"/>
    <mergeCell ref="D86:G86"/>
    <mergeCell ref="H86:I86"/>
    <mergeCell ref="D83:G83"/>
    <mergeCell ref="H83:I83"/>
    <mergeCell ref="D84:G84"/>
    <mergeCell ref="H84:I84"/>
    <mergeCell ref="B69:B75"/>
    <mergeCell ref="D69:G69"/>
    <mergeCell ref="H69:I69"/>
    <mergeCell ref="D74:G74"/>
    <mergeCell ref="D75:G75"/>
  </mergeCells>
  <dataValidations count="1">
    <dataValidation type="list" allowBlank="1" showInputMessage="1" showErrorMessage="1" sqref="F93:F94">
      <formula1>Oui_non</formula1>
    </dataValidation>
  </dataValidation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legacyDrawingHF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listes!$D$2:$D$4</xm:f>
          </x14:formula1>
          <xm:sqref>E89:F90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9"/>
  <dimension ref="A1:L49"/>
  <sheetViews>
    <sheetView zoomScaleNormal="100" zoomScalePageLayoutView="70" workbookViewId="0">
      <selection activeCell="J15" sqref="J15"/>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411</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h5r5VmiuwKw8UNKfktbkPLNkXAPQJAPAVDHitAK0RZhc9ngsps0BXFBE/4j4dU5z0SrUCC89leOG63Fk2OwU4w==" saltValue="4VSkkx/TCPwZHS2GooCWPw==" spinCount="100000" sheet="1" objects="1" scenarios="1" selectLockedCells="1"/>
  <mergeCells count="7">
    <mergeCell ref="A39:A46"/>
    <mergeCell ref="B49:I49"/>
    <mergeCell ref="A3:A10"/>
    <mergeCell ref="B1:I1"/>
    <mergeCell ref="A12:A19"/>
    <mergeCell ref="A21:A28"/>
    <mergeCell ref="A30:A37"/>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0"/>
  <dimension ref="A1:L49"/>
  <sheetViews>
    <sheetView zoomScaleNormal="100" zoomScalePageLayoutView="70" workbookViewId="0">
      <selection activeCell="J1" sqref="J1"/>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412</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kjQtToarT60yhISwG1ZsSUIQzQTcBJOk+weTkQrTGka+RC0R5ML2u4lp17Q26JmhqiGGtRKCeIeeiyfnj7LDyg==" saltValue="u4rFfMbt0Oo7EMymLM2Gfg=="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1"/>
  <dimension ref="A1:L49"/>
  <sheetViews>
    <sheetView zoomScaleNormal="100" zoomScalePageLayoutView="70" workbookViewId="0">
      <selection activeCell="L8" sqref="L8"/>
    </sheetView>
  </sheetViews>
  <sheetFormatPr baseColWidth="10" defaultRowHeight="13.8" x14ac:dyDescent="0.25"/>
  <cols>
    <col min="1" max="1" width="7" style="1" customWidth="1"/>
    <col min="2" max="2" width="11.5546875" style="1" customWidth="1"/>
    <col min="3" max="3" width="14.77734375" style="1" customWidth="1"/>
    <col min="4" max="4" width="1.77734375" style="1" customWidth="1"/>
    <col min="5" max="5" width="11.5546875" style="1"/>
    <col min="6" max="6" width="14.77734375" style="1" customWidth="1"/>
    <col min="7" max="7" width="1.77734375" style="1" customWidth="1"/>
    <col min="8" max="8" width="11.5546875" style="1" customWidth="1"/>
    <col min="9" max="9" width="14.77734375" style="1" customWidth="1"/>
    <col min="10" max="12" width="5.77734375" style="22" customWidth="1"/>
    <col min="13" max="16384" width="11.5546875" style="1"/>
  </cols>
  <sheetData>
    <row r="1" spans="1:12" ht="15" customHeight="1" thickBot="1" x14ac:dyDescent="0.3">
      <c r="B1" s="264" t="s">
        <v>413</v>
      </c>
      <c r="C1" s="265"/>
      <c r="D1" s="265"/>
      <c r="E1" s="265"/>
      <c r="F1" s="265"/>
      <c r="G1" s="265"/>
      <c r="H1" s="265"/>
      <c r="I1" s="266"/>
      <c r="J1" s="17" t="s">
        <v>74</v>
      </c>
      <c r="K1" s="17" t="s">
        <v>75</v>
      </c>
      <c r="L1" s="17" t="s">
        <v>76</v>
      </c>
    </row>
    <row r="2" spans="1:12" ht="7.95" customHeight="1" x14ac:dyDescent="0.25">
      <c r="B2" s="10"/>
      <c r="C2" s="11"/>
      <c r="D2" s="11"/>
      <c r="E2" s="11"/>
      <c r="F2" s="12"/>
      <c r="G2" s="11"/>
      <c r="H2" s="11"/>
      <c r="J2" s="18"/>
      <c r="K2" s="18"/>
      <c r="L2" s="18"/>
    </row>
    <row r="3" spans="1:12" x14ac:dyDescent="0.25">
      <c r="A3" s="456" t="s">
        <v>67</v>
      </c>
      <c r="J3" s="18"/>
      <c r="K3" s="19"/>
      <c r="L3" s="18"/>
    </row>
    <row r="4" spans="1:12" x14ac:dyDescent="0.25">
      <c r="A4" s="456"/>
      <c r="J4" s="18"/>
      <c r="K4" s="19"/>
      <c r="L4" s="18"/>
    </row>
    <row r="5" spans="1:12" x14ac:dyDescent="0.25">
      <c r="A5" s="456"/>
      <c r="J5" s="18"/>
      <c r="K5" s="19"/>
      <c r="L5" s="18"/>
    </row>
    <row r="6" spans="1:12" ht="14.4" x14ac:dyDescent="0.3">
      <c r="A6" s="456"/>
      <c r="J6" s="20"/>
      <c r="K6" s="21"/>
      <c r="L6" s="20"/>
    </row>
    <row r="7" spans="1:12" x14ac:dyDescent="0.25">
      <c r="A7" s="456"/>
      <c r="J7" s="18"/>
      <c r="K7" s="19"/>
      <c r="L7" s="18"/>
    </row>
    <row r="8" spans="1:12" x14ac:dyDescent="0.25">
      <c r="A8" s="456"/>
      <c r="J8" s="18"/>
      <c r="K8" s="19"/>
      <c r="L8" s="18"/>
    </row>
    <row r="9" spans="1:12" x14ac:dyDescent="0.25">
      <c r="A9" s="456"/>
      <c r="J9" s="18"/>
      <c r="K9" s="19"/>
      <c r="L9" s="18"/>
    </row>
    <row r="10" spans="1:12" x14ac:dyDescent="0.25">
      <c r="A10" s="456"/>
      <c r="J10" s="18"/>
      <c r="K10" s="19"/>
      <c r="L10" s="18"/>
    </row>
    <row r="11" spans="1:12" x14ac:dyDescent="0.25">
      <c r="J11" s="18"/>
      <c r="K11" s="19"/>
      <c r="L11" s="18"/>
    </row>
    <row r="12" spans="1:12" ht="13.8" customHeight="1" x14ac:dyDescent="0.25">
      <c r="A12" s="456" t="s">
        <v>68</v>
      </c>
      <c r="J12" s="18"/>
      <c r="K12" s="19"/>
      <c r="L12" s="18"/>
    </row>
    <row r="13" spans="1:12" x14ac:dyDescent="0.25">
      <c r="A13" s="456"/>
      <c r="J13" s="18"/>
      <c r="K13" s="19"/>
      <c r="L13" s="18"/>
    </row>
    <row r="14" spans="1:12" x14ac:dyDescent="0.25">
      <c r="A14" s="456"/>
      <c r="J14" s="18"/>
      <c r="K14" s="19"/>
      <c r="L14" s="18"/>
    </row>
    <row r="15" spans="1:12" x14ac:dyDescent="0.25">
      <c r="A15" s="456"/>
      <c r="J15" s="18"/>
      <c r="K15" s="19"/>
      <c r="L15" s="18"/>
    </row>
    <row r="16" spans="1:12" x14ac:dyDescent="0.25">
      <c r="A16" s="456"/>
      <c r="J16" s="18"/>
      <c r="K16" s="19"/>
      <c r="L16" s="18"/>
    </row>
    <row r="17" spans="1:12" x14ac:dyDescent="0.25">
      <c r="A17" s="456"/>
      <c r="J17" s="18"/>
      <c r="K17" s="19"/>
      <c r="L17" s="18"/>
    </row>
    <row r="18" spans="1:12" x14ac:dyDescent="0.25">
      <c r="A18" s="456"/>
      <c r="J18" s="18"/>
      <c r="K18" s="19"/>
      <c r="L18" s="18"/>
    </row>
    <row r="19" spans="1:12" x14ac:dyDescent="0.25">
      <c r="A19" s="456"/>
      <c r="J19" s="18"/>
      <c r="K19" s="19"/>
      <c r="L19" s="18"/>
    </row>
    <row r="20" spans="1:12" x14ac:dyDescent="0.25">
      <c r="J20" s="18"/>
      <c r="K20" s="19"/>
      <c r="L20" s="18"/>
    </row>
    <row r="21" spans="1:12" ht="13.8" customHeight="1" x14ac:dyDescent="0.25">
      <c r="A21" s="456" t="s">
        <v>69</v>
      </c>
      <c r="J21" s="18"/>
      <c r="K21" s="19"/>
      <c r="L21" s="18"/>
    </row>
    <row r="22" spans="1:12" x14ac:dyDescent="0.25">
      <c r="A22" s="456"/>
      <c r="J22" s="18"/>
      <c r="K22" s="19"/>
      <c r="L22" s="18"/>
    </row>
    <row r="23" spans="1:12" x14ac:dyDescent="0.25">
      <c r="A23" s="456"/>
      <c r="J23" s="18"/>
      <c r="K23" s="19"/>
      <c r="L23" s="18"/>
    </row>
    <row r="24" spans="1:12" x14ac:dyDescent="0.25">
      <c r="A24" s="456"/>
      <c r="J24" s="18"/>
      <c r="K24" s="19"/>
      <c r="L24" s="18"/>
    </row>
    <row r="25" spans="1:12" x14ac:dyDescent="0.25">
      <c r="A25" s="456"/>
      <c r="J25" s="18"/>
      <c r="K25" s="19"/>
      <c r="L25" s="18"/>
    </row>
    <row r="26" spans="1:12" x14ac:dyDescent="0.25">
      <c r="A26" s="456"/>
      <c r="J26" s="18"/>
      <c r="K26" s="19"/>
      <c r="L26" s="18"/>
    </row>
    <row r="27" spans="1:12" x14ac:dyDescent="0.25">
      <c r="A27" s="456"/>
      <c r="J27" s="18"/>
      <c r="K27" s="19"/>
      <c r="L27" s="18"/>
    </row>
    <row r="28" spans="1:12" x14ac:dyDescent="0.25">
      <c r="A28" s="456"/>
      <c r="J28" s="18"/>
      <c r="K28" s="19"/>
      <c r="L28" s="18"/>
    </row>
    <row r="29" spans="1:12" x14ac:dyDescent="0.25">
      <c r="J29" s="18"/>
      <c r="K29" s="18"/>
      <c r="L29" s="18"/>
    </row>
    <row r="30" spans="1:12" ht="13.8" customHeight="1" x14ac:dyDescent="0.25">
      <c r="A30" s="456" t="s">
        <v>70</v>
      </c>
      <c r="J30" s="18"/>
      <c r="K30" s="18"/>
      <c r="L30" s="18"/>
    </row>
    <row r="31" spans="1:12" x14ac:dyDescent="0.25">
      <c r="A31" s="456"/>
      <c r="J31" s="18"/>
      <c r="K31" s="18"/>
      <c r="L31" s="18"/>
    </row>
    <row r="32" spans="1:12" x14ac:dyDescent="0.25">
      <c r="A32" s="456"/>
      <c r="J32" s="18"/>
      <c r="K32" s="18"/>
      <c r="L32" s="18"/>
    </row>
    <row r="33" spans="1:12" x14ac:dyDescent="0.25">
      <c r="A33" s="456"/>
      <c r="J33" s="18"/>
      <c r="K33" s="18"/>
      <c r="L33" s="18"/>
    </row>
    <row r="34" spans="1:12" x14ac:dyDescent="0.25">
      <c r="A34" s="456"/>
      <c r="J34" s="18"/>
      <c r="K34" s="18"/>
      <c r="L34" s="18"/>
    </row>
    <row r="35" spans="1:12" x14ac:dyDescent="0.25">
      <c r="A35" s="456"/>
      <c r="J35" s="18"/>
      <c r="K35" s="18"/>
      <c r="L35" s="18"/>
    </row>
    <row r="36" spans="1:12" x14ac:dyDescent="0.25">
      <c r="A36" s="456"/>
      <c r="J36" s="18"/>
      <c r="K36" s="18"/>
      <c r="L36" s="18"/>
    </row>
    <row r="37" spans="1:12" x14ac:dyDescent="0.25">
      <c r="A37" s="456"/>
      <c r="J37" s="18"/>
      <c r="K37" s="18"/>
      <c r="L37" s="18"/>
    </row>
    <row r="38" spans="1:12" x14ac:dyDescent="0.25">
      <c r="J38" s="18"/>
      <c r="K38" s="18"/>
      <c r="L38" s="18"/>
    </row>
    <row r="39" spans="1:12" ht="13.8" customHeight="1" x14ac:dyDescent="0.25">
      <c r="A39" s="456" t="s">
        <v>71</v>
      </c>
      <c r="J39" s="18"/>
      <c r="K39" s="18"/>
      <c r="L39" s="18"/>
    </row>
    <row r="40" spans="1:12" x14ac:dyDescent="0.25">
      <c r="A40" s="456"/>
      <c r="J40" s="18"/>
      <c r="K40" s="18"/>
      <c r="L40" s="18"/>
    </row>
    <row r="41" spans="1:12" x14ac:dyDescent="0.25">
      <c r="A41" s="456"/>
      <c r="J41" s="18"/>
      <c r="K41" s="18"/>
      <c r="L41" s="18"/>
    </row>
    <row r="42" spans="1:12" x14ac:dyDescent="0.25">
      <c r="A42" s="456"/>
      <c r="J42" s="18"/>
      <c r="K42" s="18"/>
      <c r="L42" s="18"/>
    </row>
    <row r="43" spans="1:12" x14ac:dyDescent="0.25">
      <c r="A43" s="456"/>
      <c r="J43" s="18"/>
      <c r="K43" s="18"/>
      <c r="L43" s="18"/>
    </row>
    <row r="44" spans="1:12" x14ac:dyDescent="0.25">
      <c r="A44" s="456"/>
      <c r="J44" s="18"/>
      <c r="K44" s="18"/>
      <c r="L44" s="18"/>
    </row>
    <row r="45" spans="1:12" x14ac:dyDescent="0.25">
      <c r="A45" s="456"/>
      <c r="J45" s="18"/>
      <c r="K45" s="18"/>
      <c r="L45" s="18"/>
    </row>
    <row r="46" spans="1:12" x14ac:dyDescent="0.25">
      <c r="A46" s="456"/>
      <c r="J46" s="18"/>
      <c r="K46" s="18"/>
      <c r="L46" s="18"/>
    </row>
    <row r="47" spans="1:12" x14ac:dyDescent="0.25">
      <c r="J47" s="18"/>
      <c r="K47" s="18"/>
      <c r="L47" s="18"/>
    </row>
    <row r="48" spans="1:12" x14ac:dyDescent="0.25">
      <c r="B48" s="13" t="s">
        <v>73</v>
      </c>
      <c r="C48" s="7"/>
      <c r="D48" s="7"/>
      <c r="E48" s="7"/>
      <c r="F48" s="7"/>
      <c r="G48" s="7"/>
      <c r="H48" s="7"/>
      <c r="J48" s="18"/>
      <c r="K48" s="18"/>
      <c r="L48" s="18"/>
    </row>
    <row r="49" spans="2:12" ht="25.8" customHeight="1" x14ac:dyDescent="0.25">
      <c r="B49" s="457" t="s">
        <v>72</v>
      </c>
      <c r="C49" s="457"/>
      <c r="D49" s="457"/>
      <c r="E49" s="457"/>
      <c r="F49" s="457"/>
      <c r="G49" s="457"/>
      <c r="H49" s="457"/>
      <c r="I49" s="457"/>
      <c r="J49" s="18"/>
      <c r="K49" s="18"/>
      <c r="L49" s="18"/>
    </row>
  </sheetData>
  <sheetProtection algorithmName="SHA-512" hashValue="wM08GOgL4u4EfYmDa1toLBvbFnMZf10j4j7JJVIlAOI8EJFo3xIxpSce5GXaZF08WiJNSGjer4bReLj2NVCnJw==" saltValue="C+RItq/En4VvinNy9uHvUw==" spinCount="100000" sheet="1" objects="1" scenarios="1" selectLockedCells="1"/>
  <mergeCells count="7">
    <mergeCell ref="B49:I49"/>
    <mergeCell ref="B1:I1"/>
    <mergeCell ref="A3:A10"/>
    <mergeCell ref="A12:A19"/>
    <mergeCell ref="A21:A28"/>
    <mergeCell ref="A30:A37"/>
    <mergeCell ref="A39:A46"/>
  </mergeCells>
  <pageMargins left="0.39370078740157483" right="0.78740157480314965" top="1.6929133858267718" bottom="0.39370078740157483" header="0" footer="0"/>
  <pageSetup paperSize="9" orientation="portrait" r:id="rId1"/>
  <headerFooter>
    <oddHeader>&amp;L&amp;G&amp;R&amp;"Arial,Gras"&amp;12
Rapport d'analyse quantifiée de la marche</oddHeader>
    <oddFooter>&amp;LPO20 LAMP - Rapport analyse quantifiée marche v00-01.xlsx</oddFooter>
  </headerFooter>
  <drawing r:id="rId2"/>
  <legacyDrawingHF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AC104"/>
  <sheetViews>
    <sheetView zoomScale="70" zoomScaleNormal="70" workbookViewId="0">
      <selection activeCell="E26" sqref="E26"/>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1" x14ac:dyDescent="0.3">
      <c r="A97">
        <v>93</v>
      </c>
    </row>
    <row r="98" spans="1:1" x14ac:dyDescent="0.3">
      <c r="A98">
        <v>94</v>
      </c>
    </row>
    <row r="99" spans="1:1" x14ac:dyDescent="0.3">
      <c r="A99">
        <v>95</v>
      </c>
    </row>
    <row r="100" spans="1:1" x14ac:dyDescent="0.3">
      <c r="A100">
        <v>96</v>
      </c>
    </row>
    <row r="101" spans="1:1" x14ac:dyDescent="0.3">
      <c r="A101">
        <v>97</v>
      </c>
    </row>
    <row r="102" spans="1:1" x14ac:dyDescent="0.3">
      <c r="A102">
        <v>98</v>
      </c>
    </row>
    <row r="103" spans="1:1" x14ac:dyDescent="0.3">
      <c r="A103">
        <v>99</v>
      </c>
    </row>
    <row r="104" spans="1:1" x14ac:dyDescent="0.3">
      <c r="A104">
        <v>100</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3"/>
  <dimension ref="A1:AC209"/>
  <sheetViews>
    <sheetView zoomScale="70" zoomScaleNormal="70" workbookViewId="0">
      <selection activeCell="Q43" sqref="Q43"/>
    </sheetView>
  </sheetViews>
  <sheetFormatPr baseColWidth="10" defaultRowHeight="14.4" x14ac:dyDescent="0.3"/>
  <cols>
    <col min="2" max="2" width="15.33203125" customWidth="1"/>
  </cols>
  <sheetData>
    <row r="1" spans="1:29" x14ac:dyDescent="0.3">
      <c r="B1" t="s">
        <v>65</v>
      </c>
      <c r="C1" t="s">
        <v>65</v>
      </c>
      <c r="D1" t="s">
        <v>65</v>
      </c>
      <c r="E1" t="s">
        <v>65</v>
      </c>
      <c r="F1" t="s">
        <v>65</v>
      </c>
      <c r="G1" t="s">
        <v>65</v>
      </c>
      <c r="H1" t="s">
        <v>99</v>
      </c>
      <c r="I1" t="s">
        <v>99</v>
      </c>
      <c r="J1" t="s">
        <v>99</v>
      </c>
      <c r="K1" t="s">
        <v>99</v>
      </c>
      <c r="L1" t="s">
        <v>99</v>
      </c>
      <c r="M1" t="s">
        <v>99</v>
      </c>
      <c r="N1" t="s">
        <v>93</v>
      </c>
      <c r="O1" t="s">
        <v>93</v>
      </c>
      <c r="P1" t="s">
        <v>93</v>
      </c>
      <c r="Q1" t="s">
        <v>93</v>
      </c>
      <c r="R1" t="s">
        <v>93</v>
      </c>
      <c r="S1" t="s">
        <v>93</v>
      </c>
      <c r="T1" t="s">
        <v>97</v>
      </c>
      <c r="U1" t="s">
        <v>97</v>
      </c>
      <c r="V1" t="s">
        <v>97</v>
      </c>
      <c r="W1" t="s">
        <v>97</v>
      </c>
      <c r="X1" t="s">
        <v>100</v>
      </c>
      <c r="Y1" t="s">
        <v>100</v>
      </c>
      <c r="Z1" t="s">
        <v>100</v>
      </c>
      <c r="AA1" t="s">
        <v>100</v>
      </c>
      <c r="AB1" t="s">
        <v>100</v>
      </c>
      <c r="AC1" t="s">
        <v>100</v>
      </c>
    </row>
    <row r="2" spans="1:29" x14ac:dyDescent="0.3">
      <c r="B2" t="s">
        <v>64</v>
      </c>
      <c r="D2" t="s">
        <v>92</v>
      </c>
      <c r="F2" t="s">
        <v>91</v>
      </c>
      <c r="H2" t="s">
        <v>94</v>
      </c>
      <c r="J2" t="s">
        <v>95</v>
      </c>
      <c r="L2" t="s">
        <v>96</v>
      </c>
      <c r="N2" t="s">
        <v>94</v>
      </c>
      <c r="P2" t="s">
        <v>95</v>
      </c>
      <c r="R2" t="s">
        <v>96</v>
      </c>
      <c r="T2" t="s">
        <v>94</v>
      </c>
      <c r="V2" t="s">
        <v>98</v>
      </c>
      <c r="X2" t="s">
        <v>64</v>
      </c>
      <c r="Z2" t="s">
        <v>92</v>
      </c>
      <c r="AB2" t="s">
        <v>91</v>
      </c>
    </row>
    <row r="3" spans="1:29" x14ac:dyDescent="0.3">
      <c r="A3" t="s">
        <v>63</v>
      </c>
      <c r="B3" t="s">
        <v>49</v>
      </c>
      <c r="C3" t="s">
        <v>50</v>
      </c>
      <c r="D3" t="s">
        <v>49</v>
      </c>
      <c r="E3" t="s">
        <v>50</v>
      </c>
      <c r="F3" t="s">
        <v>49</v>
      </c>
      <c r="G3" t="s">
        <v>50</v>
      </c>
      <c r="H3" t="s">
        <v>49</v>
      </c>
      <c r="I3" t="s">
        <v>50</v>
      </c>
      <c r="J3" t="s">
        <v>49</v>
      </c>
      <c r="K3" t="s">
        <v>50</v>
      </c>
      <c r="L3" t="s">
        <v>49</v>
      </c>
      <c r="M3" t="s">
        <v>50</v>
      </c>
      <c r="N3" t="s">
        <v>49</v>
      </c>
      <c r="O3" t="s">
        <v>50</v>
      </c>
      <c r="P3" t="s">
        <v>49</v>
      </c>
      <c r="Q3" t="s">
        <v>50</v>
      </c>
      <c r="R3" t="s">
        <v>49</v>
      </c>
      <c r="S3" t="s">
        <v>50</v>
      </c>
      <c r="T3" t="s">
        <v>49</v>
      </c>
      <c r="U3" t="s">
        <v>50</v>
      </c>
      <c r="V3" t="s">
        <v>49</v>
      </c>
      <c r="W3" t="s">
        <v>50</v>
      </c>
      <c r="X3" t="s">
        <v>49</v>
      </c>
      <c r="Y3" t="s">
        <v>50</v>
      </c>
      <c r="Z3" t="s">
        <v>49</v>
      </c>
      <c r="AA3" t="s">
        <v>50</v>
      </c>
      <c r="AB3" t="s">
        <v>49</v>
      </c>
      <c r="AC3" t="s">
        <v>50</v>
      </c>
    </row>
    <row r="4" spans="1:29" x14ac:dyDescent="0.3">
      <c r="A4">
        <v>0</v>
      </c>
    </row>
    <row r="5" spans="1:29" x14ac:dyDescent="0.3">
      <c r="A5">
        <v>1</v>
      </c>
    </row>
    <row r="6" spans="1:29" x14ac:dyDescent="0.3">
      <c r="A6">
        <v>2</v>
      </c>
    </row>
    <row r="7" spans="1:29" x14ac:dyDescent="0.3">
      <c r="A7">
        <v>3</v>
      </c>
    </row>
    <row r="8" spans="1:29" x14ac:dyDescent="0.3">
      <c r="A8">
        <v>4</v>
      </c>
    </row>
    <row r="9" spans="1:29" x14ac:dyDescent="0.3">
      <c r="A9">
        <v>5</v>
      </c>
    </row>
    <row r="10" spans="1:29" x14ac:dyDescent="0.3">
      <c r="A10">
        <v>6</v>
      </c>
    </row>
    <row r="11" spans="1:29" x14ac:dyDescent="0.3">
      <c r="A11">
        <v>7</v>
      </c>
    </row>
    <row r="12" spans="1:29" x14ac:dyDescent="0.3">
      <c r="A12">
        <v>8</v>
      </c>
    </row>
    <row r="13" spans="1:29" x14ac:dyDescent="0.3">
      <c r="A13">
        <v>9</v>
      </c>
    </row>
    <row r="14" spans="1:29" x14ac:dyDescent="0.3">
      <c r="A14">
        <v>10</v>
      </c>
    </row>
    <row r="15" spans="1:29" x14ac:dyDescent="0.3">
      <c r="A15">
        <v>11</v>
      </c>
    </row>
    <row r="16" spans="1:29" x14ac:dyDescent="0.3">
      <c r="A16">
        <v>12</v>
      </c>
    </row>
    <row r="17" spans="1:1" x14ac:dyDescent="0.3">
      <c r="A17">
        <v>13</v>
      </c>
    </row>
    <row r="18" spans="1:1" x14ac:dyDescent="0.3">
      <c r="A18">
        <v>14</v>
      </c>
    </row>
    <row r="19" spans="1:1" x14ac:dyDescent="0.3">
      <c r="A19">
        <v>15</v>
      </c>
    </row>
    <row r="20" spans="1:1" x14ac:dyDescent="0.3">
      <c r="A20">
        <v>16</v>
      </c>
    </row>
    <row r="21" spans="1:1" x14ac:dyDescent="0.3">
      <c r="A21">
        <v>17</v>
      </c>
    </row>
    <row r="22" spans="1:1" x14ac:dyDescent="0.3">
      <c r="A22">
        <v>18</v>
      </c>
    </row>
    <row r="23" spans="1:1" x14ac:dyDescent="0.3">
      <c r="A23">
        <v>19</v>
      </c>
    </row>
    <row r="24" spans="1:1" x14ac:dyDescent="0.3">
      <c r="A24">
        <v>20</v>
      </c>
    </row>
    <row r="25" spans="1:1" x14ac:dyDescent="0.3">
      <c r="A25">
        <v>21</v>
      </c>
    </row>
    <row r="26" spans="1:1" x14ac:dyDescent="0.3">
      <c r="A26">
        <v>22</v>
      </c>
    </row>
    <row r="27" spans="1:1" x14ac:dyDescent="0.3">
      <c r="A27">
        <v>23</v>
      </c>
    </row>
    <row r="28" spans="1:1" x14ac:dyDescent="0.3">
      <c r="A28">
        <v>24</v>
      </c>
    </row>
    <row r="29" spans="1:1" x14ac:dyDescent="0.3">
      <c r="A29">
        <v>25</v>
      </c>
    </row>
    <row r="30" spans="1:1" x14ac:dyDescent="0.3">
      <c r="A30">
        <v>26</v>
      </c>
    </row>
    <row r="31" spans="1:1" x14ac:dyDescent="0.3">
      <c r="A31">
        <v>27</v>
      </c>
    </row>
    <row r="32" spans="1:1" x14ac:dyDescent="0.3">
      <c r="A32">
        <v>28</v>
      </c>
    </row>
    <row r="33" spans="1:1" x14ac:dyDescent="0.3">
      <c r="A33">
        <v>29</v>
      </c>
    </row>
    <row r="34" spans="1:1" x14ac:dyDescent="0.3">
      <c r="A34">
        <v>30</v>
      </c>
    </row>
    <row r="35" spans="1:1" x14ac:dyDescent="0.3">
      <c r="A35">
        <v>31</v>
      </c>
    </row>
    <row r="36" spans="1:1" x14ac:dyDescent="0.3">
      <c r="A36">
        <v>32</v>
      </c>
    </row>
    <row r="37" spans="1:1" x14ac:dyDescent="0.3">
      <c r="A37">
        <v>33</v>
      </c>
    </row>
    <row r="38" spans="1:1" x14ac:dyDescent="0.3">
      <c r="A38">
        <v>34</v>
      </c>
    </row>
    <row r="39" spans="1:1" x14ac:dyDescent="0.3">
      <c r="A39">
        <v>35</v>
      </c>
    </row>
    <row r="40" spans="1:1" x14ac:dyDescent="0.3">
      <c r="A40">
        <v>36</v>
      </c>
    </row>
    <row r="41" spans="1:1" x14ac:dyDescent="0.3">
      <c r="A41">
        <v>37</v>
      </c>
    </row>
    <row r="42" spans="1:1" x14ac:dyDescent="0.3">
      <c r="A42">
        <v>38</v>
      </c>
    </row>
    <row r="43" spans="1:1" x14ac:dyDescent="0.3">
      <c r="A43">
        <v>39</v>
      </c>
    </row>
    <row r="44" spans="1:1" x14ac:dyDescent="0.3">
      <c r="A44">
        <v>40</v>
      </c>
    </row>
    <row r="45" spans="1:1" x14ac:dyDescent="0.3">
      <c r="A45">
        <v>41</v>
      </c>
    </row>
    <row r="46" spans="1:1" x14ac:dyDescent="0.3">
      <c r="A46">
        <v>42</v>
      </c>
    </row>
    <row r="47" spans="1:1" x14ac:dyDescent="0.3">
      <c r="A47">
        <v>43</v>
      </c>
    </row>
    <row r="48" spans="1:1" x14ac:dyDescent="0.3">
      <c r="A48">
        <v>44</v>
      </c>
    </row>
    <row r="49" spans="1:1" x14ac:dyDescent="0.3">
      <c r="A49">
        <v>45</v>
      </c>
    </row>
    <row r="50" spans="1:1" x14ac:dyDescent="0.3">
      <c r="A50">
        <v>46</v>
      </c>
    </row>
    <row r="51" spans="1:1" x14ac:dyDescent="0.3">
      <c r="A51">
        <v>47</v>
      </c>
    </row>
    <row r="52" spans="1:1" x14ac:dyDescent="0.3">
      <c r="A52">
        <v>48</v>
      </c>
    </row>
    <row r="53" spans="1:1" x14ac:dyDescent="0.3">
      <c r="A53">
        <v>49</v>
      </c>
    </row>
    <row r="54" spans="1:1" x14ac:dyDescent="0.3">
      <c r="A54">
        <v>50</v>
      </c>
    </row>
    <row r="55" spans="1:1" x14ac:dyDescent="0.3">
      <c r="A55">
        <v>51</v>
      </c>
    </row>
    <row r="56" spans="1:1" x14ac:dyDescent="0.3">
      <c r="A56">
        <v>52</v>
      </c>
    </row>
    <row r="57" spans="1:1" x14ac:dyDescent="0.3">
      <c r="A57">
        <v>53</v>
      </c>
    </row>
    <row r="58" spans="1:1" x14ac:dyDescent="0.3">
      <c r="A58">
        <v>54</v>
      </c>
    </row>
    <row r="59" spans="1:1" x14ac:dyDescent="0.3">
      <c r="A59">
        <v>55</v>
      </c>
    </row>
    <row r="60" spans="1:1" x14ac:dyDescent="0.3">
      <c r="A60">
        <v>56</v>
      </c>
    </row>
    <row r="61" spans="1:1" x14ac:dyDescent="0.3">
      <c r="A61">
        <v>57</v>
      </c>
    </row>
    <row r="62" spans="1:1" x14ac:dyDescent="0.3">
      <c r="A62">
        <v>58</v>
      </c>
    </row>
    <row r="63" spans="1:1" x14ac:dyDescent="0.3">
      <c r="A63">
        <v>59</v>
      </c>
    </row>
    <row r="64" spans="1:1" x14ac:dyDescent="0.3">
      <c r="A64">
        <v>60</v>
      </c>
    </row>
    <row r="65" spans="1:1" x14ac:dyDescent="0.3">
      <c r="A65">
        <v>61</v>
      </c>
    </row>
    <row r="66" spans="1:1" x14ac:dyDescent="0.3">
      <c r="A66">
        <v>62</v>
      </c>
    </row>
    <row r="67" spans="1:1" x14ac:dyDescent="0.3">
      <c r="A67">
        <v>63</v>
      </c>
    </row>
    <row r="68" spans="1:1" x14ac:dyDescent="0.3">
      <c r="A68">
        <v>64</v>
      </c>
    </row>
    <row r="69" spans="1:1" x14ac:dyDescent="0.3">
      <c r="A69">
        <v>65</v>
      </c>
    </row>
    <row r="70" spans="1:1" x14ac:dyDescent="0.3">
      <c r="A70">
        <v>66</v>
      </c>
    </row>
    <row r="71" spans="1:1" x14ac:dyDescent="0.3">
      <c r="A71">
        <v>67</v>
      </c>
    </row>
    <row r="72" spans="1:1" x14ac:dyDescent="0.3">
      <c r="A72">
        <v>68</v>
      </c>
    </row>
    <row r="73" spans="1:1" x14ac:dyDescent="0.3">
      <c r="A73">
        <v>69</v>
      </c>
    </row>
    <row r="74" spans="1:1" x14ac:dyDescent="0.3">
      <c r="A74">
        <v>70</v>
      </c>
    </row>
    <row r="75" spans="1:1" x14ac:dyDescent="0.3">
      <c r="A75">
        <v>71</v>
      </c>
    </row>
    <row r="76" spans="1:1" x14ac:dyDescent="0.3">
      <c r="A76">
        <v>72</v>
      </c>
    </row>
    <row r="77" spans="1:1" x14ac:dyDescent="0.3">
      <c r="A77">
        <v>73</v>
      </c>
    </row>
    <row r="78" spans="1:1" x14ac:dyDescent="0.3">
      <c r="A78">
        <v>74</v>
      </c>
    </row>
    <row r="79" spans="1:1" x14ac:dyDescent="0.3">
      <c r="A79">
        <v>75</v>
      </c>
    </row>
    <row r="80" spans="1:1" x14ac:dyDescent="0.3">
      <c r="A80">
        <v>76</v>
      </c>
    </row>
    <row r="81" spans="1:1" x14ac:dyDescent="0.3">
      <c r="A81">
        <v>77</v>
      </c>
    </row>
    <row r="82" spans="1:1" x14ac:dyDescent="0.3">
      <c r="A82">
        <v>78</v>
      </c>
    </row>
    <row r="83" spans="1:1" x14ac:dyDescent="0.3">
      <c r="A83">
        <v>79</v>
      </c>
    </row>
    <row r="84" spans="1:1" x14ac:dyDescent="0.3">
      <c r="A84">
        <v>80</v>
      </c>
    </row>
    <row r="85" spans="1:1" x14ac:dyDescent="0.3">
      <c r="A85">
        <v>81</v>
      </c>
    </row>
    <row r="86" spans="1:1" x14ac:dyDescent="0.3">
      <c r="A86">
        <v>82</v>
      </c>
    </row>
    <row r="87" spans="1:1" x14ac:dyDescent="0.3">
      <c r="A87">
        <v>83</v>
      </c>
    </row>
    <row r="88" spans="1:1" x14ac:dyDescent="0.3">
      <c r="A88">
        <v>84</v>
      </c>
    </row>
    <row r="89" spans="1:1" x14ac:dyDescent="0.3">
      <c r="A89">
        <v>85</v>
      </c>
    </row>
    <row r="90" spans="1:1" x14ac:dyDescent="0.3">
      <c r="A90">
        <v>86</v>
      </c>
    </row>
    <row r="91" spans="1:1" x14ac:dyDescent="0.3">
      <c r="A91">
        <v>87</v>
      </c>
    </row>
    <row r="92" spans="1:1" x14ac:dyDescent="0.3">
      <c r="A92">
        <v>88</v>
      </c>
    </row>
    <row r="93" spans="1:1" x14ac:dyDescent="0.3">
      <c r="A93">
        <v>89</v>
      </c>
    </row>
    <row r="94" spans="1:1" x14ac:dyDescent="0.3">
      <c r="A94">
        <v>90</v>
      </c>
    </row>
    <row r="95" spans="1:1" x14ac:dyDescent="0.3">
      <c r="A95">
        <v>91</v>
      </c>
    </row>
    <row r="96" spans="1:1" x14ac:dyDescent="0.3">
      <c r="A96">
        <v>92</v>
      </c>
    </row>
    <row r="97" spans="1:29" x14ac:dyDescent="0.3">
      <c r="A97">
        <v>93</v>
      </c>
    </row>
    <row r="98" spans="1:29" x14ac:dyDescent="0.3">
      <c r="A98">
        <v>94</v>
      </c>
    </row>
    <row r="99" spans="1:29" x14ac:dyDescent="0.3">
      <c r="A99">
        <v>95</v>
      </c>
    </row>
    <row r="100" spans="1:29" x14ac:dyDescent="0.3">
      <c r="A100">
        <v>96</v>
      </c>
    </row>
    <row r="101" spans="1:29" x14ac:dyDescent="0.3">
      <c r="A101">
        <v>97</v>
      </c>
    </row>
    <row r="102" spans="1:29" x14ac:dyDescent="0.3">
      <c r="A102">
        <v>98</v>
      </c>
    </row>
    <row r="103" spans="1:29" x14ac:dyDescent="0.3">
      <c r="A103">
        <v>99</v>
      </c>
    </row>
    <row r="104" spans="1:29" x14ac:dyDescent="0.3">
      <c r="A104">
        <v>100</v>
      </c>
    </row>
    <row r="106" spans="1:29" x14ac:dyDescent="0.3">
      <c r="A106" t="s">
        <v>65</v>
      </c>
      <c r="B106" t="s">
        <v>65</v>
      </c>
      <c r="C106" t="s">
        <v>65</v>
      </c>
      <c r="D106" t="s">
        <v>65</v>
      </c>
      <c r="E106" t="s">
        <v>65</v>
      </c>
      <c r="F106" t="s">
        <v>65</v>
      </c>
      <c r="G106" t="s">
        <v>99</v>
      </c>
      <c r="H106" t="s">
        <v>99</v>
      </c>
      <c r="I106" t="s">
        <v>99</v>
      </c>
      <c r="J106" t="s">
        <v>99</v>
      </c>
      <c r="K106" t="s">
        <v>99</v>
      </c>
      <c r="L106" t="s">
        <v>99</v>
      </c>
      <c r="M106" t="s">
        <v>93</v>
      </c>
      <c r="N106" t="s">
        <v>93</v>
      </c>
      <c r="O106" t="s">
        <v>93</v>
      </c>
      <c r="P106" t="s">
        <v>93</v>
      </c>
      <c r="Q106" t="s">
        <v>93</v>
      </c>
      <c r="R106" t="s">
        <v>93</v>
      </c>
      <c r="S106" t="s">
        <v>97</v>
      </c>
      <c r="T106" t="s">
        <v>97</v>
      </c>
      <c r="U106" t="s">
        <v>97</v>
      </c>
      <c r="V106" t="s">
        <v>97</v>
      </c>
      <c r="W106" t="s">
        <v>100</v>
      </c>
      <c r="X106" t="s">
        <v>100</v>
      </c>
      <c r="Y106" t="s">
        <v>100</v>
      </c>
      <c r="Z106" t="s">
        <v>100</v>
      </c>
      <c r="AA106" t="s">
        <v>100</v>
      </c>
      <c r="AB106" t="s">
        <v>100</v>
      </c>
      <c r="AC106" t="s">
        <v>50</v>
      </c>
    </row>
    <row r="107" spans="1:29" x14ac:dyDescent="0.3">
      <c r="A107" t="s">
        <v>64</v>
      </c>
      <c r="C107" t="s">
        <v>92</v>
      </c>
      <c r="E107" t="s">
        <v>91</v>
      </c>
      <c r="G107" t="s">
        <v>94</v>
      </c>
      <c r="I107" t="s">
        <v>95</v>
      </c>
      <c r="K107" t="s">
        <v>96</v>
      </c>
      <c r="M107" t="s">
        <v>94</v>
      </c>
      <c r="O107" t="s">
        <v>95</v>
      </c>
      <c r="Q107" t="s">
        <v>96</v>
      </c>
      <c r="S107" t="s">
        <v>94</v>
      </c>
      <c r="U107" t="s">
        <v>98</v>
      </c>
      <c r="W107" t="s">
        <v>64</v>
      </c>
      <c r="Y107" t="s">
        <v>92</v>
      </c>
      <c r="AA107" t="s">
        <v>91</v>
      </c>
    </row>
    <row r="108" spans="1:29" x14ac:dyDescent="0.3">
      <c r="A108" t="s">
        <v>63</v>
      </c>
      <c r="B108" t="s">
        <v>49</v>
      </c>
      <c r="C108" t="s">
        <v>50</v>
      </c>
      <c r="D108" t="s">
        <v>49</v>
      </c>
      <c r="E108" t="s">
        <v>50</v>
      </c>
      <c r="F108" t="s">
        <v>49</v>
      </c>
      <c r="G108" t="s">
        <v>50</v>
      </c>
      <c r="H108" t="s">
        <v>49</v>
      </c>
      <c r="I108" t="s">
        <v>50</v>
      </c>
      <c r="J108" t="s">
        <v>49</v>
      </c>
      <c r="K108" t="s">
        <v>50</v>
      </c>
      <c r="L108" t="s">
        <v>49</v>
      </c>
      <c r="M108" t="s">
        <v>50</v>
      </c>
      <c r="N108" t="s">
        <v>49</v>
      </c>
      <c r="O108" t="s">
        <v>50</v>
      </c>
      <c r="P108" t="s">
        <v>49</v>
      </c>
      <c r="Q108" t="s">
        <v>50</v>
      </c>
      <c r="R108" t="s">
        <v>49</v>
      </c>
      <c r="S108" t="s">
        <v>50</v>
      </c>
      <c r="T108" t="s">
        <v>49</v>
      </c>
      <c r="U108" t="s">
        <v>50</v>
      </c>
      <c r="V108" t="s">
        <v>49</v>
      </c>
      <c r="W108" t="s">
        <v>50</v>
      </c>
      <c r="X108" t="s">
        <v>49</v>
      </c>
      <c r="Y108" t="s">
        <v>50</v>
      </c>
      <c r="Z108" t="s">
        <v>49</v>
      </c>
      <c r="AA108" t="s">
        <v>50</v>
      </c>
      <c r="AB108" t="s">
        <v>49</v>
      </c>
    </row>
    <row r="109" spans="1:29" x14ac:dyDescent="0.3">
      <c r="A109">
        <v>0</v>
      </c>
    </row>
    <row r="110" spans="1:29" x14ac:dyDescent="0.3">
      <c r="A110">
        <v>1</v>
      </c>
    </row>
    <row r="111" spans="1:29" x14ac:dyDescent="0.3">
      <c r="A111">
        <v>2</v>
      </c>
    </row>
    <row r="112" spans="1:29" x14ac:dyDescent="0.3">
      <c r="A112">
        <v>3</v>
      </c>
    </row>
    <row r="113" spans="1:1" x14ac:dyDescent="0.3">
      <c r="A113">
        <v>4</v>
      </c>
    </row>
    <row r="114" spans="1:1" x14ac:dyDescent="0.3">
      <c r="A114">
        <v>5</v>
      </c>
    </row>
    <row r="115" spans="1:1" x14ac:dyDescent="0.3">
      <c r="A115">
        <v>6</v>
      </c>
    </row>
    <row r="116" spans="1:1" x14ac:dyDescent="0.3">
      <c r="A116">
        <v>7</v>
      </c>
    </row>
    <row r="117" spans="1:1" x14ac:dyDescent="0.3">
      <c r="A117">
        <v>8</v>
      </c>
    </row>
    <row r="118" spans="1:1" x14ac:dyDescent="0.3">
      <c r="A118">
        <v>9</v>
      </c>
    </row>
    <row r="119" spans="1:1" x14ac:dyDescent="0.3">
      <c r="A119">
        <v>10</v>
      </c>
    </row>
    <row r="120" spans="1:1" x14ac:dyDescent="0.3">
      <c r="A120">
        <v>11</v>
      </c>
    </row>
    <row r="121" spans="1:1" x14ac:dyDescent="0.3">
      <c r="A121">
        <v>12</v>
      </c>
    </row>
    <row r="122" spans="1:1" x14ac:dyDescent="0.3">
      <c r="A122">
        <v>13</v>
      </c>
    </row>
    <row r="123" spans="1:1" x14ac:dyDescent="0.3">
      <c r="A123">
        <v>14</v>
      </c>
    </row>
    <row r="124" spans="1:1" x14ac:dyDescent="0.3">
      <c r="A124">
        <v>15</v>
      </c>
    </row>
    <row r="125" spans="1:1" x14ac:dyDescent="0.3">
      <c r="A125">
        <v>16</v>
      </c>
    </row>
    <row r="126" spans="1:1" x14ac:dyDescent="0.3">
      <c r="A126">
        <v>17</v>
      </c>
    </row>
    <row r="127" spans="1:1" x14ac:dyDescent="0.3">
      <c r="A127">
        <v>18</v>
      </c>
    </row>
    <row r="128" spans="1:1" x14ac:dyDescent="0.3">
      <c r="A128">
        <v>19</v>
      </c>
    </row>
    <row r="129" spans="1:1" x14ac:dyDescent="0.3">
      <c r="A129">
        <v>20</v>
      </c>
    </row>
    <row r="130" spans="1:1" x14ac:dyDescent="0.3">
      <c r="A130">
        <v>21</v>
      </c>
    </row>
    <row r="131" spans="1:1" x14ac:dyDescent="0.3">
      <c r="A131">
        <v>22</v>
      </c>
    </row>
    <row r="132" spans="1:1" x14ac:dyDescent="0.3">
      <c r="A132">
        <v>23</v>
      </c>
    </row>
    <row r="133" spans="1:1" x14ac:dyDescent="0.3">
      <c r="A133">
        <v>24</v>
      </c>
    </row>
    <row r="134" spans="1:1" x14ac:dyDescent="0.3">
      <c r="A134">
        <v>25</v>
      </c>
    </row>
    <row r="135" spans="1:1" x14ac:dyDescent="0.3">
      <c r="A135">
        <v>26</v>
      </c>
    </row>
    <row r="136" spans="1:1" x14ac:dyDescent="0.3">
      <c r="A136">
        <v>27</v>
      </c>
    </row>
    <row r="137" spans="1:1" x14ac:dyDescent="0.3">
      <c r="A137">
        <v>28</v>
      </c>
    </row>
    <row r="138" spans="1:1" x14ac:dyDescent="0.3">
      <c r="A138">
        <v>29</v>
      </c>
    </row>
    <row r="139" spans="1:1" x14ac:dyDescent="0.3">
      <c r="A139">
        <v>30</v>
      </c>
    </row>
    <row r="140" spans="1:1" x14ac:dyDescent="0.3">
      <c r="A140">
        <v>31</v>
      </c>
    </row>
    <row r="141" spans="1:1" x14ac:dyDescent="0.3">
      <c r="A141">
        <v>32</v>
      </c>
    </row>
    <row r="142" spans="1:1" x14ac:dyDescent="0.3">
      <c r="A142">
        <v>33</v>
      </c>
    </row>
    <row r="143" spans="1:1" x14ac:dyDescent="0.3">
      <c r="A143">
        <v>34</v>
      </c>
    </row>
    <row r="144" spans="1:1" x14ac:dyDescent="0.3">
      <c r="A144">
        <v>35</v>
      </c>
    </row>
    <row r="145" spans="1:1" x14ac:dyDescent="0.3">
      <c r="A145">
        <v>36</v>
      </c>
    </row>
    <row r="146" spans="1:1" x14ac:dyDescent="0.3">
      <c r="A146">
        <v>37</v>
      </c>
    </row>
    <row r="147" spans="1:1" x14ac:dyDescent="0.3">
      <c r="A147">
        <v>38</v>
      </c>
    </row>
    <row r="148" spans="1:1" x14ac:dyDescent="0.3">
      <c r="A148">
        <v>39</v>
      </c>
    </row>
    <row r="149" spans="1:1" x14ac:dyDescent="0.3">
      <c r="A149">
        <v>40</v>
      </c>
    </row>
    <row r="150" spans="1:1" x14ac:dyDescent="0.3">
      <c r="A150">
        <v>41</v>
      </c>
    </row>
    <row r="151" spans="1:1" x14ac:dyDescent="0.3">
      <c r="A151">
        <v>42</v>
      </c>
    </row>
    <row r="152" spans="1:1" x14ac:dyDescent="0.3">
      <c r="A152">
        <v>43</v>
      </c>
    </row>
    <row r="153" spans="1:1" x14ac:dyDescent="0.3">
      <c r="A153">
        <v>44</v>
      </c>
    </row>
    <row r="154" spans="1:1" x14ac:dyDescent="0.3">
      <c r="A154">
        <v>45</v>
      </c>
    </row>
    <row r="155" spans="1:1" x14ac:dyDescent="0.3">
      <c r="A155">
        <v>46</v>
      </c>
    </row>
    <row r="156" spans="1:1" x14ac:dyDescent="0.3">
      <c r="A156">
        <v>47</v>
      </c>
    </row>
    <row r="157" spans="1:1" x14ac:dyDescent="0.3">
      <c r="A157">
        <v>48</v>
      </c>
    </row>
    <row r="158" spans="1:1" x14ac:dyDescent="0.3">
      <c r="A158">
        <v>49</v>
      </c>
    </row>
    <row r="159" spans="1:1" x14ac:dyDescent="0.3">
      <c r="A159">
        <v>50</v>
      </c>
    </row>
    <row r="160" spans="1:1" x14ac:dyDescent="0.3">
      <c r="A160">
        <v>51</v>
      </c>
    </row>
    <row r="161" spans="1:1" x14ac:dyDescent="0.3">
      <c r="A161">
        <v>52</v>
      </c>
    </row>
    <row r="162" spans="1:1" x14ac:dyDescent="0.3">
      <c r="A162">
        <v>53</v>
      </c>
    </row>
    <row r="163" spans="1:1" x14ac:dyDescent="0.3">
      <c r="A163">
        <v>54</v>
      </c>
    </row>
    <row r="164" spans="1:1" x14ac:dyDescent="0.3">
      <c r="A164">
        <v>55</v>
      </c>
    </row>
    <row r="165" spans="1:1" x14ac:dyDescent="0.3">
      <c r="A165">
        <v>56</v>
      </c>
    </row>
    <row r="166" spans="1:1" x14ac:dyDescent="0.3">
      <c r="A166">
        <v>57</v>
      </c>
    </row>
    <row r="167" spans="1:1" x14ac:dyDescent="0.3">
      <c r="A167">
        <v>58</v>
      </c>
    </row>
    <row r="168" spans="1:1" x14ac:dyDescent="0.3">
      <c r="A168">
        <v>59</v>
      </c>
    </row>
    <row r="169" spans="1:1" x14ac:dyDescent="0.3">
      <c r="A169">
        <v>60</v>
      </c>
    </row>
    <row r="170" spans="1:1" x14ac:dyDescent="0.3">
      <c r="A170">
        <v>61</v>
      </c>
    </row>
    <row r="171" spans="1:1" x14ac:dyDescent="0.3">
      <c r="A171">
        <v>62</v>
      </c>
    </row>
    <row r="172" spans="1:1" x14ac:dyDescent="0.3">
      <c r="A172">
        <v>63</v>
      </c>
    </row>
    <row r="173" spans="1:1" x14ac:dyDescent="0.3">
      <c r="A173">
        <v>64</v>
      </c>
    </row>
    <row r="174" spans="1:1" x14ac:dyDescent="0.3">
      <c r="A174">
        <v>65</v>
      </c>
    </row>
    <row r="175" spans="1:1" x14ac:dyDescent="0.3">
      <c r="A175">
        <v>66</v>
      </c>
    </row>
    <row r="176" spans="1:1" x14ac:dyDescent="0.3">
      <c r="A176">
        <v>67</v>
      </c>
    </row>
    <row r="177" spans="1:1" x14ac:dyDescent="0.3">
      <c r="A177">
        <v>68</v>
      </c>
    </row>
    <row r="178" spans="1:1" x14ac:dyDescent="0.3">
      <c r="A178">
        <v>69</v>
      </c>
    </row>
    <row r="179" spans="1:1" x14ac:dyDescent="0.3">
      <c r="A179">
        <v>70</v>
      </c>
    </row>
    <row r="180" spans="1:1" x14ac:dyDescent="0.3">
      <c r="A180">
        <v>71</v>
      </c>
    </row>
    <row r="181" spans="1:1" x14ac:dyDescent="0.3">
      <c r="A181">
        <v>72</v>
      </c>
    </row>
    <row r="182" spans="1:1" x14ac:dyDescent="0.3">
      <c r="A182">
        <v>73</v>
      </c>
    </row>
    <row r="183" spans="1:1" x14ac:dyDescent="0.3">
      <c r="A183">
        <v>74</v>
      </c>
    </row>
    <row r="184" spans="1:1" x14ac:dyDescent="0.3">
      <c r="A184">
        <v>75</v>
      </c>
    </row>
    <row r="185" spans="1:1" x14ac:dyDescent="0.3">
      <c r="A185">
        <v>76</v>
      </c>
    </row>
    <row r="186" spans="1:1" x14ac:dyDescent="0.3">
      <c r="A186">
        <v>77</v>
      </c>
    </row>
    <row r="187" spans="1:1" x14ac:dyDescent="0.3">
      <c r="A187">
        <v>78</v>
      </c>
    </row>
    <row r="188" spans="1:1" x14ac:dyDescent="0.3">
      <c r="A188">
        <v>79</v>
      </c>
    </row>
    <row r="189" spans="1:1" x14ac:dyDescent="0.3">
      <c r="A189">
        <v>80</v>
      </c>
    </row>
    <row r="190" spans="1:1" x14ac:dyDescent="0.3">
      <c r="A190">
        <v>81</v>
      </c>
    </row>
    <row r="191" spans="1:1" x14ac:dyDescent="0.3">
      <c r="A191">
        <v>82</v>
      </c>
    </row>
    <row r="192" spans="1:1" x14ac:dyDescent="0.3">
      <c r="A192">
        <v>83</v>
      </c>
    </row>
    <row r="193" spans="1:1" x14ac:dyDescent="0.3">
      <c r="A193">
        <v>84</v>
      </c>
    </row>
    <row r="194" spans="1:1" x14ac:dyDescent="0.3">
      <c r="A194">
        <v>85</v>
      </c>
    </row>
    <row r="195" spans="1:1" x14ac:dyDescent="0.3">
      <c r="A195">
        <v>86</v>
      </c>
    </row>
    <row r="196" spans="1:1" x14ac:dyDescent="0.3">
      <c r="A196">
        <v>87</v>
      </c>
    </row>
    <row r="197" spans="1:1" x14ac:dyDescent="0.3">
      <c r="A197">
        <v>88</v>
      </c>
    </row>
    <row r="198" spans="1:1" x14ac:dyDescent="0.3">
      <c r="A198">
        <v>89</v>
      </c>
    </row>
    <row r="199" spans="1:1" x14ac:dyDescent="0.3">
      <c r="A199">
        <v>90</v>
      </c>
    </row>
    <row r="200" spans="1:1" x14ac:dyDescent="0.3">
      <c r="A200">
        <v>91</v>
      </c>
    </row>
    <row r="201" spans="1:1" x14ac:dyDescent="0.3">
      <c r="A201">
        <v>92</v>
      </c>
    </row>
    <row r="202" spans="1:1" x14ac:dyDescent="0.3">
      <c r="A202">
        <v>93</v>
      </c>
    </row>
    <row r="203" spans="1:1" x14ac:dyDescent="0.3">
      <c r="A203">
        <v>94</v>
      </c>
    </row>
    <row r="204" spans="1:1" x14ac:dyDescent="0.3">
      <c r="A204">
        <v>95</v>
      </c>
    </row>
    <row r="205" spans="1:1" x14ac:dyDescent="0.3">
      <c r="A205">
        <v>96</v>
      </c>
    </row>
    <row r="206" spans="1:1" x14ac:dyDescent="0.3">
      <c r="A206">
        <v>97</v>
      </c>
    </row>
    <row r="207" spans="1:1" x14ac:dyDescent="0.3">
      <c r="A207">
        <v>98</v>
      </c>
    </row>
    <row r="208" spans="1:1" x14ac:dyDescent="0.3">
      <c r="A208">
        <v>99</v>
      </c>
    </row>
    <row r="209" spans="1:1" x14ac:dyDescent="0.3">
      <c r="A209">
        <v>100</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4"/>
  <dimension ref="A1:W72"/>
  <sheetViews>
    <sheetView topLeftCell="D1" zoomScale="70" zoomScaleNormal="70" workbookViewId="0">
      <selection activeCell="Q28" sqref="Q28"/>
    </sheetView>
  </sheetViews>
  <sheetFormatPr baseColWidth="10" defaultRowHeight="14.4" x14ac:dyDescent="0.3"/>
  <cols>
    <col min="2" max="2" width="13.109375" bestFit="1" customWidth="1"/>
    <col min="5" max="5" width="8" bestFit="1" customWidth="1"/>
    <col min="6" max="6" width="15.5546875" bestFit="1" customWidth="1"/>
    <col min="7" max="7" width="17.6640625" bestFit="1" customWidth="1"/>
    <col min="8" max="8" width="11.44140625"/>
    <col min="9" max="9" width="17.5546875" customWidth="1"/>
    <col min="10" max="10" width="27.33203125" customWidth="1"/>
    <col min="11" max="11" width="11.6640625" bestFit="1" customWidth="1"/>
    <col min="12" max="12" width="8.88671875" bestFit="1" customWidth="1"/>
    <col min="13" max="13" width="14.33203125" bestFit="1" customWidth="1"/>
    <col min="14" max="14" width="14.33203125" customWidth="1"/>
    <col min="15" max="15" width="28.5546875" bestFit="1" customWidth="1"/>
    <col min="16" max="16" width="25.88671875" bestFit="1" customWidth="1"/>
    <col min="17" max="17" width="31.109375" bestFit="1" customWidth="1"/>
    <col min="18" max="18" width="18" bestFit="1" customWidth="1"/>
    <col min="19" max="19" width="12.109375" bestFit="1" customWidth="1"/>
    <col min="20" max="20" width="15.6640625" bestFit="1" customWidth="1"/>
  </cols>
  <sheetData>
    <row r="1" spans="1:23" s="3" customFormat="1" x14ac:dyDescent="0.3">
      <c r="A1" s="3" t="s">
        <v>15</v>
      </c>
      <c r="B1" s="3" t="s">
        <v>16</v>
      </c>
      <c r="C1" s="3" t="s">
        <v>53</v>
      </c>
      <c r="D1" s="3" t="s">
        <v>219</v>
      </c>
      <c r="E1" s="91" t="s">
        <v>7</v>
      </c>
      <c r="F1" s="91" t="s">
        <v>223</v>
      </c>
      <c r="G1" s="91" t="s">
        <v>224</v>
      </c>
      <c r="H1" s="91" t="s">
        <v>225</v>
      </c>
      <c r="I1" s="91"/>
      <c r="J1" s="91" t="s">
        <v>226</v>
      </c>
      <c r="K1" s="91" t="s">
        <v>227</v>
      </c>
      <c r="L1" s="91" t="s">
        <v>228</v>
      </c>
      <c r="M1" s="91" t="s">
        <v>229</v>
      </c>
      <c r="N1" s="91" t="s">
        <v>365</v>
      </c>
      <c r="O1" s="91" t="s">
        <v>11</v>
      </c>
      <c r="P1" s="91" t="s">
        <v>230</v>
      </c>
      <c r="Q1" s="91" t="s">
        <v>231</v>
      </c>
      <c r="R1" s="91" t="s">
        <v>232</v>
      </c>
      <c r="S1" s="91" t="s">
        <v>233</v>
      </c>
      <c r="T1" s="91" t="s">
        <v>234</v>
      </c>
      <c r="U1" s="91" t="s">
        <v>235</v>
      </c>
      <c r="V1" s="91"/>
      <c r="W1" s="91" t="s">
        <v>236</v>
      </c>
    </row>
    <row r="2" spans="1:23" x14ac:dyDescent="0.3">
      <c r="A2" t="s">
        <v>18</v>
      </c>
      <c r="B2" t="s">
        <v>20</v>
      </c>
      <c r="C2" t="s">
        <v>60</v>
      </c>
      <c r="D2" t="s">
        <v>220</v>
      </c>
      <c r="E2" t="s">
        <v>237</v>
      </c>
      <c r="F2" t="s">
        <v>475</v>
      </c>
      <c r="G2" t="s">
        <v>238</v>
      </c>
      <c r="H2" t="s">
        <v>239</v>
      </c>
      <c r="J2" t="s">
        <v>239</v>
      </c>
      <c r="K2">
        <v>1</v>
      </c>
      <c r="L2" t="s">
        <v>240</v>
      </c>
      <c r="M2" t="s">
        <v>241</v>
      </c>
      <c r="N2" t="s">
        <v>261</v>
      </c>
      <c r="O2" t="s">
        <v>242</v>
      </c>
      <c r="P2" t="s">
        <v>243</v>
      </c>
      <c r="Q2" t="s">
        <v>244</v>
      </c>
      <c r="R2" t="s">
        <v>245</v>
      </c>
      <c r="S2" t="s">
        <v>246</v>
      </c>
      <c r="T2" t="s">
        <v>247</v>
      </c>
      <c r="U2" t="s">
        <v>248</v>
      </c>
      <c r="W2" t="s">
        <v>249</v>
      </c>
    </row>
    <row r="3" spans="1:23" x14ac:dyDescent="0.3">
      <c r="A3" t="s">
        <v>19</v>
      </c>
      <c r="B3" t="s">
        <v>21</v>
      </c>
      <c r="C3" t="s">
        <v>54</v>
      </c>
      <c r="D3" t="s">
        <v>221</v>
      </c>
      <c r="E3" t="s">
        <v>222</v>
      </c>
      <c r="F3" t="s">
        <v>476</v>
      </c>
      <c r="G3" t="s">
        <v>250</v>
      </c>
      <c r="H3" s="92" t="s">
        <v>251</v>
      </c>
      <c r="J3" s="92" t="s">
        <v>251</v>
      </c>
      <c r="K3">
        <v>2</v>
      </c>
      <c r="L3" t="s">
        <v>252</v>
      </c>
      <c r="M3" t="s">
        <v>253</v>
      </c>
      <c r="N3" t="s">
        <v>268</v>
      </c>
      <c r="O3" t="s">
        <v>254</v>
      </c>
      <c r="P3" t="s">
        <v>255</v>
      </c>
      <c r="Q3" t="s">
        <v>256</v>
      </c>
      <c r="R3" t="s">
        <v>257</v>
      </c>
      <c r="S3" t="s">
        <v>49</v>
      </c>
      <c r="T3" t="s">
        <v>258</v>
      </c>
      <c r="U3" t="s">
        <v>259</v>
      </c>
      <c r="W3" t="s">
        <v>260</v>
      </c>
    </row>
    <row r="4" spans="1:23" x14ac:dyDescent="0.3">
      <c r="A4" t="s">
        <v>26</v>
      </c>
      <c r="B4" t="s">
        <v>22</v>
      </c>
      <c r="C4" t="s">
        <v>55</v>
      </c>
      <c r="D4" t="s">
        <v>217</v>
      </c>
      <c r="F4" t="s">
        <v>477</v>
      </c>
      <c r="H4" t="s">
        <v>478</v>
      </c>
      <c r="J4" t="s">
        <v>499</v>
      </c>
      <c r="K4">
        <v>0</v>
      </c>
      <c r="M4" t="s">
        <v>281</v>
      </c>
      <c r="N4" t="s">
        <v>273</v>
      </c>
      <c r="O4" t="s">
        <v>262</v>
      </c>
      <c r="P4" t="s">
        <v>263</v>
      </c>
      <c r="Q4" t="s">
        <v>264</v>
      </c>
      <c r="R4" t="s">
        <v>265</v>
      </c>
      <c r="S4" t="s">
        <v>266</v>
      </c>
      <c r="T4" t="s">
        <v>266</v>
      </c>
      <c r="U4" t="s">
        <v>267</v>
      </c>
    </row>
    <row r="5" spans="1:23" x14ac:dyDescent="0.3">
      <c r="C5" t="s">
        <v>56</v>
      </c>
      <c r="H5" t="s">
        <v>479</v>
      </c>
      <c r="J5" t="s">
        <v>500</v>
      </c>
      <c r="N5" t="s">
        <v>277</v>
      </c>
      <c r="O5" t="s">
        <v>269</v>
      </c>
      <c r="P5" t="s">
        <v>270</v>
      </c>
      <c r="S5" t="s">
        <v>271</v>
      </c>
      <c r="T5" t="s">
        <v>271</v>
      </c>
      <c r="U5" t="s">
        <v>272</v>
      </c>
    </row>
    <row r="6" spans="1:23" x14ac:dyDescent="0.3">
      <c r="C6" t="s">
        <v>57</v>
      </c>
      <c r="H6" t="s">
        <v>480</v>
      </c>
      <c r="J6" t="s">
        <v>501</v>
      </c>
      <c r="N6" t="s">
        <v>285</v>
      </c>
      <c r="O6" t="s">
        <v>274</v>
      </c>
      <c r="P6" t="s">
        <v>275</v>
      </c>
      <c r="U6" t="s">
        <v>276</v>
      </c>
    </row>
    <row r="7" spans="1:23" x14ac:dyDescent="0.3">
      <c r="C7" t="s">
        <v>58</v>
      </c>
      <c r="H7" t="s">
        <v>481</v>
      </c>
      <c r="J7" t="s">
        <v>502</v>
      </c>
      <c r="O7" t="s">
        <v>278</v>
      </c>
      <c r="P7" s="92" t="s">
        <v>279</v>
      </c>
      <c r="U7" t="s">
        <v>280</v>
      </c>
    </row>
    <row r="8" spans="1:23" x14ac:dyDescent="0.3">
      <c r="C8" t="s">
        <v>59</v>
      </c>
      <c r="H8" t="s">
        <v>482</v>
      </c>
      <c r="J8" t="s">
        <v>503</v>
      </c>
      <c r="O8" t="s">
        <v>282</v>
      </c>
      <c r="P8" t="s">
        <v>283</v>
      </c>
      <c r="U8" t="s">
        <v>284</v>
      </c>
    </row>
    <row r="9" spans="1:23" x14ac:dyDescent="0.3">
      <c r="H9" t="s">
        <v>483</v>
      </c>
      <c r="J9" t="s">
        <v>504</v>
      </c>
      <c r="P9" s="92" t="s">
        <v>251</v>
      </c>
      <c r="U9" t="s">
        <v>286</v>
      </c>
    </row>
    <row r="10" spans="1:23" x14ac:dyDescent="0.3">
      <c r="H10" t="s">
        <v>484</v>
      </c>
      <c r="J10" t="s">
        <v>505</v>
      </c>
      <c r="P10" t="s">
        <v>287</v>
      </c>
      <c r="U10" t="s">
        <v>288</v>
      </c>
    </row>
    <row r="11" spans="1:23" x14ac:dyDescent="0.3">
      <c r="H11" t="s">
        <v>485</v>
      </c>
      <c r="J11" t="s">
        <v>506</v>
      </c>
      <c r="P11" t="s">
        <v>289</v>
      </c>
      <c r="U11" t="s">
        <v>290</v>
      </c>
    </row>
    <row r="12" spans="1:23" x14ac:dyDescent="0.3">
      <c r="H12" s="92" t="s">
        <v>251</v>
      </c>
      <c r="J12" s="92" t="s">
        <v>251</v>
      </c>
      <c r="P12" t="s">
        <v>291</v>
      </c>
      <c r="U12" t="s">
        <v>292</v>
      </c>
    </row>
    <row r="13" spans="1:23" x14ac:dyDescent="0.3">
      <c r="H13" t="s">
        <v>486</v>
      </c>
      <c r="J13" t="s">
        <v>507</v>
      </c>
      <c r="P13" t="s">
        <v>293</v>
      </c>
      <c r="U13" t="s">
        <v>294</v>
      </c>
    </row>
    <row r="14" spans="1:23" x14ac:dyDescent="0.3">
      <c r="H14" t="s">
        <v>487</v>
      </c>
      <c r="J14" t="s">
        <v>508</v>
      </c>
      <c r="P14" t="s">
        <v>295</v>
      </c>
      <c r="U14" t="s">
        <v>296</v>
      </c>
    </row>
    <row r="15" spans="1:23" x14ac:dyDescent="0.3">
      <c r="H15" t="s">
        <v>488</v>
      </c>
      <c r="J15" t="s">
        <v>509</v>
      </c>
      <c r="P15" t="s">
        <v>297</v>
      </c>
      <c r="U15" t="s">
        <v>298</v>
      </c>
    </row>
    <row r="16" spans="1:23" x14ac:dyDescent="0.3">
      <c r="H16" s="92" t="s">
        <v>251</v>
      </c>
      <c r="J16" s="92" t="s">
        <v>251</v>
      </c>
      <c r="P16" t="s">
        <v>299</v>
      </c>
      <c r="U16" t="s">
        <v>300</v>
      </c>
    </row>
    <row r="17" spans="8:21" x14ac:dyDescent="0.3">
      <c r="H17" t="s">
        <v>489</v>
      </c>
      <c r="J17" t="s">
        <v>510</v>
      </c>
      <c r="P17" t="s">
        <v>301</v>
      </c>
      <c r="U17" t="s">
        <v>302</v>
      </c>
    </row>
    <row r="18" spans="8:21" x14ac:dyDescent="0.3">
      <c r="H18" t="s">
        <v>490</v>
      </c>
      <c r="J18" t="s">
        <v>511</v>
      </c>
      <c r="P18" s="92" t="s">
        <v>251</v>
      </c>
      <c r="U18" t="s">
        <v>303</v>
      </c>
    </row>
    <row r="19" spans="8:21" x14ac:dyDescent="0.3">
      <c r="H19" t="s">
        <v>491</v>
      </c>
      <c r="J19" t="s">
        <v>512</v>
      </c>
      <c r="P19" t="s">
        <v>304</v>
      </c>
      <c r="U19" t="s">
        <v>305</v>
      </c>
    </row>
    <row r="20" spans="8:21" x14ac:dyDescent="0.3">
      <c r="H20" t="s">
        <v>492</v>
      </c>
      <c r="J20" t="s">
        <v>513</v>
      </c>
      <c r="P20" t="s">
        <v>306</v>
      </c>
      <c r="U20" t="s">
        <v>307</v>
      </c>
    </row>
    <row r="21" spans="8:21" x14ac:dyDescent="0.3">
      <c r="H21" s="92" t="s">
        <v>251</v>
      </c>
      <c r="J21" s="92" t="s">
        <v>251</v>
      </c>
      <c r="P21" s="92" t="s">
        <v>251</v>
      </c>
      <c r="U21" t="s">
        <v>308</v>
      </c>
    </row>
    <row r="22" spans="8:21" x14ac:dyDescent="0.3">
      <c r="H22" t="s">
        <v>493</v>
      </c>
      <c r="J22" t="s">
        <v>514</v>
      </c>
      <c r="P22" t="s">
        <v>309</v>
      </c>
      <c r="U22" t="s">
        <v>310</v>
      </c>
    </row>
    <row r="23" spans="8:21" x14ac:dyDescent="0.3">
      <c r="H23" t="s">
        <v>494</v>
      </c>
      <c r="J23" t="s">
        <v>515</v>
      </c>
      <c r="P23" t="s">
        <v>311</v>
      </c>
      <c r="U23" t="s">
        <v>312</v>
      </c>
    </row>
    <row r="24" spans="8:21" x14ac:dyDescent="0.3">
      <c r="H24" t="s">
        <v>495</v>
      </c>
      <c r="J24" t="s">
        <v>516</v>
      </c>
      <c r="P24" t="s">
        <v>313</v>
      </c>
      <c r="U24" t="s">
        <v>314</v>
      </c>
    </row>
    <row r="25" spans="8:21" x14ac:dyDescent="0.3">
      <c r="H25" t="s">
        <v>496</v>
      </c>
      <c r="J25" t="s">
        <v>517</v>
      </c>
      <c r="P25" t="s">
        <v>315</v>
      </c>
      <c r="U25" t="s">
        <v>316</v>
      </c>
    </row>
    <row r="26" spans="8:21" x14ac:dyDescent="0.3">
      <c r="H26" t="s">
        <v>497</v>
      </c>
      <c r="J26" t="s">
        <v>518</v>
      </c>
      <c r="P26" s="92" t="s">
        <v>251</v>
      </c>
      <c r="U26" t="s">
        <v>317</v>
      </c>
    </row>
    <row r="27" spans="8:21" x14ac:dyDescent="0.3">
      <c r="H27" t="s">
        <v>498</v>
      </c>
      <c r="J27" t="s">
        <v>519</v>
      </c>
      <c r="P27" t="s">
        <v>318</v>
      </c>
      <c r="U27" t="s">
        <v>319</v>
      </c>
    </row>
    <row r="28" spans="8:21" x14ac:dyDescent="0.3">
      <c r="H28" s="92" t="s">
        <v>251</v>
      </c>
      <c r="J28" s="92" t="s">
        <v>251</v>
      </c>
      <c r="P28" t="s">
        <v>320</v>
      </c>
      <c r="U28" t="s">
        <v>321</v>
      </c>
    </row>
    <row r="29" spans="8:21" x14ac:dyDescent="0.3">
      <c r="H29" t="s">
        <v>499</v>
      </c>
      <c r="J29" t="s">
        <v>478</v>
      </c>
      <c r="P29" s="92" t="s">
        <v>251</v>
      </c>
      <c r="U29" t="s">
        <v>322</v>
      </c>
    </row>
    <row r="30" spans="8:21" x14ac:dyDescent="0.3">
      <c r="H30" t="s">
        <v>500</v>
      </c>
      <c r="J30" t="s">
        <v>479</v>
      </c>
      <c r="P30" t="s">
        <v>265</v>
      </c>
      <c r="U30" t="s">
        <v>323</v>
      </c>
    </row>
    <row r="31" spans="8:21" x14ac:dyDescent="0.3">
      <c r="H31" t="s">
        <v>501</v>
      </c>
      <c r="J31" t="s">
        <v>480</v>
      </c>
      <c r="P31" t="s">
        <v>264</v>
      </c>
      <c r="U31" t="s">
        <v>324</v>
      </c>
    </row>
    <row r="32" spans="8:21" x14ac:dyDescent="0.3">
      <c r="H32" t="s">
        <v>502</v>
      </c>
      <c r="J32" t="s">
        <v>481</v>
      </c>
      <c r="U32" t="s">
        <v>325</v>
      </c>
    </row>
    <row r="33" spans="8:21" x14ac:dyDescent="0.3">
      <c r="H33" t="s">
        <v>503</v>
      </c>
      <c r="J33" t="s">
        <v>482</v>
      </c>
      <c r="U33" t="s">
        <v>326</v>
      </c>
    </row>
    <row r="34" spans="8:21" x14ac:dyDescent="0.3">
      <c r="H34" t="s">
        <v>504</v>
      </c>
      <c r="J34" t="s">
        <v>483</v>
      </c>
      <c r="U34" t="s">
        <v>327</v>
      </c>
    </row>
    <row r="35" spans="8:21" x14ac:dyDescent="0.3">
      <c r="H35" t="s">
        <v>505</v>
      </c>
      <c r="J35" t="s">
        <v>484</v>
      </c>
      <c r="U35" t="s">
        <v>328</v>
      </c>
    </row>
    <row r="36" spans="8:21" x14ac:dyDescent="0.3">
      <c r="H36" t="s">
        <v>506</v>
      </c>
      <c r="J36" t="s">
        <v>485</v>
      </c>
      <c r="U36" t="s">
        <v>329</v>
      </c>
    </row>
    <row r="37" spans="8:21" x14ac:dyDescent="0.3">
      <c r="H37" s="92" t="s">
        <v>251</v>
      </c>
      <c r="J37" s="92" t="s">
        <v>251</v>
      </c>
      <c r="U37" s="92" t="s">
        <v>251</v>
      </c>
    </row>
    <row r="38" spans="8:21" x14ac:dyDescent="0.3">
      <c r="H38" t="s">
        <v>507</v>
      </c>
      <c r="J38" t="s">
        <v>486</v>
      </c>
      <c r="U38" t="s">
        <v>330</v>
      </c>
    </row>
    <row r="39" spans="8:21" x14ac:dyDescent="0.3">
      <c r="H39" t="s">
        <v>508</v>
      </c>
      <c r="J39" t="s">
        <v>487</v>
      </c>
      <c r="U39" t="s">
        <v>331</v>
      </c>
    </row>
    <row r="40" spans="8:21" x14ac:dyDescent="0.3">
      <c r="H40" t="s">
        <v>509</v>
      </c>
      <c r="J40" t="s">
        <v>488</v>
      </c>
      <c r="U40" t="s">
        <v>332</v>
      </c>
    </row>
    <row r="41" spans="8:21" x14ac:dyDescent="0.3">
      <c r="H41" s="92" t="s">
        <v>251</v>
      </c>
      <c r="J41" s="92" t="s">
        <v>251</v>
      </c>
      <c r="U41" t="s">
        <v>333</v>
      </c>
    </row>
    <row r="42" spans="8:21" x14ac:dyDescent="0.3">
      <c r="H42" t="s">
        <v>510</v>
      </c>
      <c r="J42" t="s">
        <v>489</v>
      </c>
      <c r="U42" t="s">
        <v>334</v>
      </c>
    </row>
    <row r="43" spans="8:21" x14ac:dyDescent="0.3">
      <c r="H43" t="s">
        <v>511</v>
      </c>
      <c r="J43" t="s">
        <v>490</v>
      </c>
      <c r="U43" t="s">
        <v>335</v>
      </c>
    </row>
    <row r="44" spans="8:21" x14ac:dyDescent="0.3">
      <c r="H44" t="s">
        <v>512</v>
      </c>
      <c r="J44" t="s">
        <v>491</v>
      </c>
      <c r="U44" t="s">
        <v>336</v>
      </c>
    </row>
    <row r="45" spans="8:21" x14ac:dyDescent="0.3">
      <c r="H45" t="s">
        <v>513</v>
      </c>
      <c r="J45" t="s">
        <v>492</v>
      </c>
      <c r="U45" t="s">
        <v>337</v>
      </c>
    </row>
    <row r="46" spans="8:21" x14ac:dyDescent="0.3">
      <c r="H46" s="92" t="s">
        <v>251</v>
      </c>
      <c r="J46" s="92" t="s">
        <v>251</v>
      </c>
      <c r="U46" t="s">
        <v>338</v>
      </c>
    </row>
    <row r="47" spans="8:21" x14ac:dyDescent="0.3">
      <c r="H47" t="s">
        <v>514</v>
      </c>
      <c r="J47" t="s">
        <v>493</v>
      </c>
      <c r="U47" t="s">
        <v>339</v>
      </c>
    </row>
    <row r="48" spans="8:21" x14ac:dyDescent="0.3">
      <c r="H48" t="s">
        <v>515</v>
      </c>
      <c r="J48" t="s">
        <v>494</v>
      </c>
      <c r="U48" t="s">
        <v>340</v>
      </c>
    </row>
    <row r="49" spans="8:21" x14ac:dyDescent="0.3">
      <c r="H49" t="s">
        <v>516</v>
      </c>
      <c r="J49" t="s">
        <v>495</v>
      </c>
      <c r="U49" t="s">
        <v>341</v>
      </c>
    </row>
    <row r="50" spans="8:21" x14ac:dyDescent="0.3">
      <c r="H50" t="s">
        <v>517</v>
      </c>
      <c r="J50" t="s">
        <v>496</v>
      </c>
      <c r="U50" t="s">
        <v>342</v>
      </c>
    </row>
    <row r="51" spans="8:21" x14ac:dyDescent="0.3">
      <c r="H51" t="s">
        <v>518</v>
      </c>
      <c r="J51" t="s">
        <v>497</v>
      </c>
      <c r="U51" t="s">
        <v>343</v>
      </c>
    </row>
    <row r="52" spans="8:21" x14ac:dyDescent="0.3">
      <c r="H52" t="s">
        <v>519</v>
      </c>
      <c r="J52" t="s">
        <v>498</v>
      </c>
      <c r="U52" t="s">
        <v>344</v>
      </c>
    </row>
    <row r="53" spans="8:21" x14ac:dyDescent="0.3">
      <c r="U53" t="s">
        <v>345</v>
      </c>
    </row>
    <row r="54" spans="8:21" x14ac:dyDescent="0.3">
      <c r="U54" t="s">
        <v>346</v>
      </c>
    </row>
    <row r="55" spans="8:21" x14ac:dyDescent="0.3">
      <c r="U55" t="s">
        <v>347</v>
      </c>
    </row>
    <row r="56" spans="8:21" x14ac:dyDescent="0.3">
      <c r="U56" t="s">
        <v>348</v>
      </c>
    </row>
    <row r="57" spans="8:21" x14ac:dyDescent="0.3">
      <c r="U57" t="s">
        <v>349</v>
      </c>
    </row>
    <row r="58" spans="8:21" x14ac:dyDescent="0.3">
      <c r="U58" t="s">
        <v>350</v>
      </c>
    </row>
    <row r="59" spans="8:21" x14ac:dyDescent="0.3">
      <c r="U59" t="s">
        <v>351</v>
      </c>
    </row>
    <row r="60" spans="8:21" x14ac:dyDescent="0.3">
      <c r="U60" t="s">
        <v>352</v>
      </c>
    </row>
    <row r="61" spans="8:21" x14ac:dyDescent="0.3">
      <c r="U61" t="s">
        <v>353</v>
      </c>
    </row>
    <row r="62" spans="8:21" x14ac:dyDescent="0.3">
      <c r="U62" t="s">
        <v>354</v>
      </c>
    </row>
    <row r="63" spans="8:21" x14ac:dyDescent="0.3">
      <c r="U63" t="s">
        <v>355</v>
      </c>
    </row>
    <row r="64" spans="8:21" x14ac:dyDescent="0.3">
      <c r="U64" t="s">
        <v>356</v>
      </c>
    </row>
    <row r="65" spans="21:21" x14ac:dyDescent="0.3">
      <c r="U65" t="s">
        <v>357</v>
      </c>
    </row>
    <row r="66" spans="21:21" x14ac:dyDescent="0.3">
      <c r="U66" t="s">
        <v>358</v>
      </c>
    </row>
    <row r="67" spans="21:21" x14ac:dyDescent="0.3">
      <c r="U67" t="s">
        <v>359</v>
      </c>
    </row>
    <row r="68" spans="21:21" x14ac:dyDescent="0.3">
      <c r="U68" t="s">
        <v>360</v>
      </c>
    </row>
    <row r="69" spans="21:21" x14ac:dyDescent="0.3">
      <c r="U69" t="s">
        <v>361</v>
      </c>
    </row>
    <row r="70" spans="21:21" x14ac:dyDescent="0.3">
      <c r="U70" t="s">
        <v>362</v>
      </c>
    </row>
    <row r="71" spans="21:21" x14ac:dyDescent="0.3">
      <c r="U71" t="s">
        <v>363</v>
      </c>
    </row>
    <row r="72" spans="21:21" x14ac:dyDescent="0.3">
      <c r="U72" t="s">
        <v>364</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14</vt:i4>
      </vt:variant>
      <vt:variant>
        <vt:lpstr>Plages nommées</vt:lpstr>
      </vt:variant>
      <vt:variant>
        <vt:i4>32</vt:i4>
      </vt:variant>
    </vt:vector>
  </HeadingPairs>
  <TitlesOfParts>
    <vt:vector size="46" baseType="lpstr">
      <vt:lpstr>Protocole</vt:lpstr>
      <vt:lpstr>Compte-rendu</vt:lpstr>
      <vt:lpstr>Observations et Qualité</vt:lpstr>
      <vt:lpstr>Evidence (0)</vt:lpstr>
      <vt:lpstr>Evidence (1)</vt:lpstr>
      <vt:lpstr>Evidence (2)</vt:lpstr>
      <vt:lpstr>Légendes</vt:lpstr>
      <vt:lpstr>Examen (0)</vt:lpstr>
      <vt:lpstr>Examen (1)</vt:lpstr>
      <vt:lpstr>Examen (2)</vt:lpstr>
      <vt:lpstr>Examen (3)</vt:lpstr>
      <vt:lpstr>Examen - data (1)</vt:lpstr>
      <vt:lpstr>Examen - norm (1)</vt:lpstr>
      <vt:lpstr>listes</vt:lpstr>
      <vt:lpstr>Cote</vt:lpstr>
      <vt:lpstr>Effet_sur_marche</vt:lpstr>
      <vt:lpstr>EMG_droit</vt:lpstr>
      <vt:lpstr>EMG_gauche</vt:lpstr>
      <vt:lpstr>Equipe</vt:lpstr>
      <vt:lpstr>Evidence</vt:lpstr>
      <vt:lpstr>Genre</vt:lpstr>
      <vt:lpstr>Groupe</vt:lpstr>
      <vt:lpstr>Liste_muscles</vt:lpstr>
      <vt:lpstr>Medecins</vt:lpstr>
      <vt:lpstr>Membre</vt:lpstr>
      <vt:lpstr>Modele</vt:lpstr>
      <vt:lpstr>Motif</vt:lpstr>
      <vt:lpstr>Operateurs</vt:lpstr>
      <vt:lpstr>Oui_non</vt:lpstr>
      <vt:lpstr>Pathologie</vt:lpstr>
      <vt:lpstr>Plateformes</vt:lpstr>
      <vt:lpstr>'Compte-rendu'!Print_Area</vt:lpstr>
      <vt:lpstr>'Evidence (0)'!Print_Area</vt:lpstr>
      <vt:lpstr>'Evidence (1)'!Print_Area</vt:lpstr>
      <vt:lpstr>'Evidence (2)'!Print_Area</vt:lpstr>
      <vt:lpstr>'Examen (0)'!Print_Area</vt:lpstr>
      <vt:lpstr>'Examen (1)'!Print_Area</vt:lpstr>
      <vt:lpstr>'Examen (2)'!Print_Area</vt:lpstr>
      <vt:lpstr>'Examen (3)'!Print_Area</vt:lpstr>
      <vt:lpstr>Légendes!Print_Area</vt:lpstr>
      <vt:lpstr>'Observations et Qualité'!Print_Area</vt:lpstr>
      <vt:lpstr>Sensibilte</vt:lpstr>
      <vt:lpstr>Systeme</vt:lpstr>
      <vt:lpstr>Terrain_de_marche</vt:lpstr>
      <vt:lpstr>Type_accident</vt:lpstr>
      <vt:lpstr>Type_pathologie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Moissenet Florent</dc:creator>
  <cp:lastModifiedBy>Moissenet Florent</cp:lastModifiedBy>
  <cp:lastPrinted>2018-05-03T10:43:01Z</cp:lastPrinted>
  <dcterms:created xsi:type="dcterms:W3CDTF">2017-11-28T07:32:02Z</dcterms:created>
  <dcterms:modified xsi:type="dcterms:W3CDTF">2018-06-12T13:25:56Z</dcterms:modified>
</cp:coreProperties>
</file>