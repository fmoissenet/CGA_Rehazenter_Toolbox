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5.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florent.moissenet\Documents\Professionnel\routines\github\CGA_Rehazenter_Toolbox\"/>
    </mc:Choice>
  </mc:AlternateContent>
  <bookViews>
    <workbookView xWindow="33852" yWindow="0" windowWidth="22104" windowHeight="9396" tabRatio="906"/>
  </bookViews>
  <sheets>
    <sheet name="Protocole" sheetId="19" r:id="rId1"/>
    <sheet name="Compte-rendu" sheetId="1" r:id="rId2"/>
    <sheet name="Observations et Qualité" sheetId="4" r:id="rId3"/>
    <sheet name="Evidence (0)" sheetId="6" r:id="rId4"/>
    <sheet name="Evidence (1)" sheetId="24" r:id="rId5"/>
    <sheet name="Evidence (2)" sheetId="25" r:id="rId6"/>
    <sheet name="Légendes" sheetId="12" r:id="rId7"/>
    <sheet name="Examen (0)" sheetId="14" r:id="rId8"/>
    <sheet name="Examen (1)" sheetId="7" r:id="rId9"/>
    <sheet name="Examen (2)" sheetId="26" r:id="rId10"/>
    <sheet name="Examen (3)" sheetId="27" r:id="rId11"/>
    <sheet name="Examen - data (1)" sheetId="10" r:id="rId12"/>
    <sheet name="Examen - norm (1)" sheetId="13" r:id="rId13"/>
    <sheet name="listes" sheetId="2" r:id="rId14"/>
  </sheets>
  <definedNames>
    <definedName name="Cote">listes!$S$2:$S$5</definedName>
    <definedName name="Effet_sur_marche">listes!$B$2:$B$4</definedName>
    <definedName name="EMG_droit">listes!$H$2:$H$52</definedName>
    <definedName name="EMG_gauche">listes!$J$2:$J$52</definedName>
    <definedName name="Equipe">listes!$M$2:$M$9</definedName>
    <definedName name="Evidence">listes!$A$2:$A$4</definedName>
    <definedName name="Genre">listes!$E$2:$E$3</definedName>
    <definedName name="Groupe">listes!$C$2:$C$8</definedName>
    <definedName name="Liste_muscles">listes!$U$2:$U$72</definedName>
    <definedName name="Medecins">listes!$M$2:$M$4</definedName>
    <definedName name="Membre">listes!$T$2:$T$5</definedName>
    <definedName name="Modele">listes!$F$2:$F$7</definedName>
    <definedName name="Motif">listes!$O$2:$O$8</definedName>
    <definedName name="Operateurs">listes!$N$2:$N$6</definedName>
    <definedName name="Oui_non">listes!$W$2:$W$3</definedName>
    <definedName name="Pathologie">listes!$P$2:$P$31</definedName>
    <definedName name="Plateformes">listes!$K$2:$K$4</definedName>
    <definedName name="Sensibilte">listes!$D$2:$D$4</definedName>
    <definedName name="Systeme">listes!$L$2:$L$3</definedName>
    <definedName name="Terrain_de_marche">listes!$G$2:$G$3</definedName>
    <definedName name="Type_accident">listes!$R$2:$R$4</definedName>
    <definedName name="Type_pathologie">listes!$Q$2:$Q$4</definedName>
    <definedName name="_xlnm.Print_Area" localSheetId="1">'Compte-rendu'!$A$1:$H$30</definedName>
    <definedName name="_xlnm.Print_Area" localSheetId="3">'Evidence (0)'!$A$1:$H$53</definedName>
    <definedName name="_xlnm.Print_Area" localSheetId="4">'Evidence (1)'!$A$1:$H$53</definedName>
    <definedName name="_xlnm.Print_Area" localSheetId="5">'Evidence (2)'!$A$1:$H$53</definedName>
    <definedName name="_xlnm.Print_Area" localSheetId="7">'Examen (0)'!$A$1:$K$97</definedName>
    <definedName name="_xlnm.Print_Area" localSheetId="8">'Examen (1)'!$A$1:$I$49</definedName>
    <definedName name="_xlnm.Print_Area" localSheetId="9">'Examen (2)'!$A$1:$I$49</definedName>
    <definedName name="_xlnm.Print_Area" localSheetId="10">'Examen (3)'!$A$1:$I$49</definedName>
    <definedName name="_xlnm.Print_Area" localSheetId="6">Légendes!$A$1:$H$41</definedName>
    <definedName name="_xlnm.Print_Area" localSheetId="2">'Observations et Qualité'!$A$1:$H$27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4" i="1" l="1"/>
  <c r="G24" i="1"/>
  <c r="H23" i="1"/>
  <c r="G23" i="1"/>
  <c r="H21" i="1"/>
  <c r="G21" i="1"/>
  <c r="B24" i="1"/>
  <c r="B22" i="1"/>
  <c r="B23" i="1"/>
  <c r="B21" i="1"/>
  <c r="B20" i="1" l="1"/>
  <c r="B19" i="1"/>
  <c r="H20" i="1"/>
  <c r="G20" i="1"/>
  <c r="H19" i="1"/>
  <c r="G19" i="1"/>
  <c r="H5" i="4"/>
  <c r="H6" i="4"/>
  <c r="H7" i="4"/>
  <c r="H8" i="4"/>
  <c r="H9" i="4"/>
  <c r="H4" i="4"/>
  <c r="C5" i="4"/>
  <c r="C6" i="4"/>
  <c r="C7" i="4"/>
  <c r="C8" i="4"/>
  <c r="C9" i="4"/>
  <c r="C4" i="4"/>
  <c r="C6" i="1"/>
  <c r="C12" i="4"/>
  <c r="C11" i="4"/>
  <c r="C5" i="1"/>
  <c r="C10" i="1"/>
  <c r="C11" i="1"/>
  <c r="C12" i="1"/>
  <c r="C13" i="1"/>
  <c r="C9" i="1"/>
  <c r="C3" i="1"/>
  <c r="C4" i="1"/>
  <c r="C2" i="1"/>
  <c r="C13" i="4" l="1"/>
  <c r="J33" i="14"/>
  <c r="H33" i="14"/>
</calcChain>
</file>

<file path=xl/sharedStrings.xml><?xml version="1.0" encoding="utf-8"?>
<sst xmlns="http://schemas.openxmlformats.org/spreadsheetml/2006/main" count="1025" uniqueCount="521">
  <si>
    <t>Date</t>
  </si>
  <si>
    <t>Médecin</t>
  </si>
  <si>
    <t>Type</t>
  </si>
  <si>
    <t>Observations</t>
  </si>
  <si>
    <t>Patient</t>
  </si>
  <si>
    <t>Nom</t>
  </si>
  <si>
    <t>Prénom</t>
  </si>
  <si>
    <t>Genre</t>
  </si>
  <si>
    <t>Commentaires</t>
  </si>
  <si>
    <t>Examen</t>
  </si>
  <si>
    <t>Opérateur</t>
  </si>
  <si>
    <t>Motif</t>
  </si>
  <si>
    <t>Compte-rendu de l'examen</t>
  </si>
  <si>
    <t>Les déficits affectant le plus la marche du patient sont :</t>
  </si>
  <si>
    <t>Age</t>
  </si>
  <si>
    <t>Evidence</t>
  </si>
  <si>
    <t>Effet sur la marche</t>
  </si>
  <si>
    <t>Diagnostic</t>
  </si>
  <si>
    <t>Possible</t>
  </si>
  <si>
    <t>Probable</t>
  </si>
  <si>
    <t>Mineur</t>
  </si>
  <si>
    <t>Modéré</t>
  </si>
  <si>
    <t>Majeur</t>
  </si>
  <si>
    <t>Autres commentaires :</t>
  </si>
  <si>
    <t>Remarques sur la suite du rapport :</t>
  </si>
  <si>
    <t>Motivation détaillée</t>
  </si>
  <si>
    <t>Certain</t>
  </si>
  <si>
    <t>Précédentes interventions</t>
  </si>
  <si>
    <t>Date :</t>
  </si>
  <si>
    <r>
      <t xml:space="preserve">Longueur pas droit </t>
    </r>
    <r>
      <rPr>
        <sz val="9"/>
        <color theme="1"/>
        <rFont val="Arial"/>
        <family val="2"/>
      </rPr>
      <t>(cm)</t>
    </r>
  </si>
  <si>
    <r>
      <t xml:space="preserve">Longueur pas gauche </t>
    </r>
    <r>
      <rPr>
        <sz val="9"/>
        <color theme="1"/>
        <rFont val="Arial"/>
        <family val="2"/>
      </rPr>
      <t>(cm)</t>
    </r>
  </si>
  <si>
    <r>
      <t xml:space="preserve">Taille </t>
    </r>
    <r>
      <rPr>
        <sz val="9"/>
        <color theme="1"/>
        <rFont val="Arial"/>
        <family val="2"/>
      </rPr>
      <t>(cm)</t>
    </r>
  </si>
  <si>
    <r>
      <t xml:space="preserve">Poids </t>
    </r>
    <r>
      <rPr>
        <sz val="9"/>
        <color theme="1"/>
        <rFont val="Arial"/>
        <family val="2"/>
      </rPr>
      <t>(kg)</t>
    </r>
  </si>
  <si>
    <r>
      <rPr>
        <b/>
        <sz val="11"/>
        <color theme="1"/>
        <rFont val="Arial"/>
        <family val="2"/>
      </rPr>
      <t>Groupe</t>
    </r>
    <r>
      <rPr>
        <sz val="11"/>
        <color theme="1"/>
        <rFont val="Arial"/>
        <family val="2"/>
      </rPr>
      <t xml:space="preserve"> </t>
    </r>
    <r>
      <rPr>
        <sz val="9"/>
        <color theme="1"/>
        <rFont val="Arial"/>
        <family val="2"/>
      </rPr>
      <t>(AVC)</t>
    </r>
  </si>
  <si>
    <t>Analyse observationnelle de la marche</t>
  </si>
  <si>
    <t>Qualité</t>
  </si>
  <si>
    <t>Est-ce que les données produites sont représentatives de la marche naturelle du patient?</t>
  </si>
  <si>
    <t>Il y a-t-il des remarques à apporter quant aux données produites?</t>
  </si>
  <si>
    <t>Existe-t-il des éléments suggérant la présence d'offset ou d'artefacts de tissous mous importants?</t>
  </si>
  <si>
    <t>Déficit</t>
  </si>
  <si>
    <t>Déficit :</t>
  </si>
  <si>
    <t>Evidence :</t>
  </si>
  <si>
    <t>Impact :</t>
  </si>
  <si>
    <t>Impact</t>
  </si>
  <si>
    <t>Code</t>
  </si>
  <si>
    <t>Anomalie</t>
  </si>
  <si>
    <t>Eléments de preuve - Electromyographie</t>
  </si>
  <si>
    <t>Eléments de preuve - Cinématique / Cinétique</t>
  </si>
  <si>
    <t>Eléments de preuve - Examen clinique</t>
  </si>
  <si>
    <t>Gauche</t>
  </si>
  <si>
    <t>Droite</t>
  </si>
  <si>
    <t>Eléments de preuve - Autres</t>
  </si>
  <si>
    <t>Information</t>
  </si>
  <si>
    <t>Groupe</t>
  </si>
  <si>
    <t>Ia</t>
  </si>
  <si>
    <t>Ib</t>
  </si>
  <si>
    <t>IIa</t>
  </si>
  <si>
    <t>IIb</t>
  </si>
  <si>
    <t>IIIa</t>
  </si>
  <si>
    <t>IIIb</t>
  </si>
  <si>
    <t>NA</t>
  </si>
  <si>
    <r>
      <t xml:space="preserve">Vitesse de marche </t>
    </r>
    <r>
      <rPr>
        <sz val="9"/>
        <color theme="1"/>
        <rFont val="Arial"/>
        <family val="2"/>
      </rPr>
      <t>(m / s)</t>
    </r>
  </si>
  <si>
    <r>
      <t xml:space="preserve">Cadence </t>
    </r>
    <r>
      <rPr>
        <sz val="9"/>
        <color theme="1"/>
        <rFont val="Arial"/>
        <family val="2"/>
      </rPr>
      <t>(pas / min)</t>
    </r>
  </si>
  <si>
    <t>Temps</t>
  </si>
  <si>
    <t>Anteversion (+) / Retroversion (-)</t>
  </si>
  <si>
    <t>Bassin</t>
  </si>
  <si>
    <t>Evolution de la marche</t>
  </si>
  <si>
    <r>
      <t xml:space="preserve">Bassin 
</t>
    </r>
    <r>
      <rPr>
        <i/>
        <sz val="8"/>
        <color theme="1"/>
        <rFont val="Arial"/>
        <family val="2"/>
      </rPr>
      <t>(cinématique segmentaire)</t>
    </r>
  </si>
  <si>
    <r>
      <t xml:space="preserve">Hanche
</t>
    </r>
    <r>
      <rPr>
        <i/>
        <sz val="8"/>
        <color theme="1"/>
        <rFont val="Arial"/>
        <family val="2"/>
      </rPr>
      <t>(cinématique articulaire)</t>
    </r>
  </si>
  <si>
    <r>
      <t xml:space="preserve">Genou
</t>
    </r>
    <r>
      <rPr>
        <i/>
        <sz val="8"/>
        <color theme="1"/>
        <rFont val="Arial"/>
        <family val="2"/>
      </rPr>
      <t>(cinématique articulaire)</t>
    </r>
  </si>
  <si>
    <r>
      <t xml:space="preserve">Cheville
</t>
    </r>
    <r>
      <rPr>
        <i/>
        <sz val="8"/>
        <color theme="1"/>
        <rFont val="Arial"/>
        <family val="2"/>
      </rPr>
      <t>(cinématique articulaire)</t>
    </r>
  </si>
  <si>
    <r>
      <t xml:space="preserve">Pied
</t>
    </r>
    <r>
      <rPr>
        <i/>
        <sz val="8"/>
        <color theme="1"/>
        <rFont val="Arial"/>
        <family val="2"/>
      </rPr>
      <t>(cinématique segmentaire)</t>
    </r>
  </si>
  <si>
    <t>Tous les graphiques ci-dessus sont exprimés pour un cycle de marche (d'une pose du pied à la suite pour chaque côté). Les lignes verticales représentent la séparation entre la phase d'appui et la phase oscillante, pour chaque côté.</t>
  </si>
  <si>
    <t>Remarques :</t>
  </si>
  <si>
    <t>G</t>
  </si>
  <si>
    <t>D</t>
  </si>
  <si>
    <t>G+D</t>
  </si>
  <si>
    <t>Légendes</t>
  </si>
  <si>
    <t>Symboles employés sur les graphiques</t>
  </si>
  <si>
    <t>Augmentation</t>
  </si>
  <si>
    <t>(sur tout le cycle)</t>
  </si>
  <si>
    <t>Excès</t>
  </si>
  <si>
    <t>(sur une portion du cycle)</t>
  </si>
  <si>
    <t>Précoce</t>
  </si>
  <si>
    <t>Trop long</t>
  </si>
  <si>
    <t>Amplitude augmentée</t>
  </si>
  <si>
    <t>ou</t>
  </si>
  <si>
    <t>Dans les normes</t>
  </si>
  <si>
    <t>Artefact possible</t>
  </si>
  <si>
    <t>Autre anomalie</t>
  </si>
  <si>
    <t>Diminution</t>
  </si>
  <si>
    <t>Rotation (externe + / interne -)</t>
  </si>
  <si>
    <t>Inclinaison (élévation + / chute -)</t>
  </si>
  <si>
    <t>Genou</t>
  </si>
  <si>
    <t>Flexion (+) / Extension (-)</t>
  </si>
  <si>
    <t>Abduction (+) / Adduction (-)</t>
  </si>
  <si>
    <t>Rotation interne (+) / externe (-)</t>
  </si>
  <si>
    <t>Cheville</t>
  </si>
  <si>
    <t>Eversion (+) / Inversion (-)</t>
  </si>
  <si>
    <t>Hanche</t>
  </si>
  <si>
    <t>Pied</t>
  </si>
  <si>
    <t>Défaut</t>
  </si>
  <si>
    <t>Retard</t>
  </si>
  <si>
    <t>Amplitude diminuée</t>
  </si>
  <si>
    <t>Pente anormale</t>
  </si>
  <si>
    <t>Trop court</t>
  </si>
  <si>
    <t>La flèche pointe la courbe</t>
  </si>
  <si>
    <t>La flèche pointe l'anomalie</t>
  </si>
  <si>
    <t>Les flèches délimitent l'anomalie</t>
  </si>
  <si>
    <t>Aligner la pente avec l'anomalie</t>
  </si>
  <si>
    <t>A utiliser uniquement pour une raison particulière</t>
  </si>
  <si>
    <t>Encercle l'anomalie</t>
  </si>
  <si>
    <t>Echelles employées pour l'examen clinique</t>
  </si>
  <si>
    <t>Contraction non palpable ou non observable</t>
  </si>
  <si>
    <t>Contraction palpable ou observable mais pas de mouvement</t>
  </si>
  <si>
    <t>Mouvement possible dans une position sans gravité</t>
  </si>
  <si>
    <t>Mouvement contre gravité et légère résistance</t>
  </si>
  <si>
    <t>Mouvement contre gravité</t>
  </si>
  <si>
    <t>Force normale</t>
  </si>
  <si>
    <t>Normal</t>
  </si>
  <si>
    <t>Anomalie importante</t>
  </si>
  <si>
    <t>Anomalie légère</t>
  </si>
  <si>
    <t>1+</t>
  </si>
  <si>
    <t>Pas d'augmentation du tonus musculaire</t>
  </si>
  <si>
    <t>Légère augmentation du tonus (accroche ponctuelle)</t>
  </si>
  <si>
    <t>Résistance très nette et mouvement difficile</t>
  </si>
  <si>
    <t>Articulation rigide</t>
  </si>
  <si>
    <r>
      <rPr>
        <b/>
        <sz val="10"/>
        <color theme="1"/>
        <rFont val="Calibri"/>
        <family val="2"/>
        <scheme val="minor"/>
      </rPr>
      <t>Force</t>
    </r>
    <r>
      <rPr>
        <sz val="10"/>
        <color theme="1"/>
        <rFont val="Calibri"/>
        <family val="2"/>
        <scheme val="minor"/>
      </rPr>
      <t xml:space="preserve"> | Echelle MRC [1]</t>
    </r>
  </si>
  <si>
    <r>
      <rPr>
        <b/>
        <sz val="10"/>
        <color theme="1"/>
        <rFont val="Calibri"/>
        <family val="2"/>
        <scheme val="minor"/>
      </rPr>
      <t>Spasticité</t>
    </r>
    <r>
      <rPr>
        <sz val="10"/>
        <color theme="1"/>
        <rFont val="Calibri"/>
        <family val="2"/>
        <scheme val="minor"/>
      </rPr>
      <t xml:space="preserve"> | Echelle d'Ashworth modifiée [2]</t>
    </r>
  </si>
  <si>
    <r>
      <rPr>
        <b/>
        <sz val="10"/>
        <color theme="1"/>
        <rFont val="Calibri"/>
        <family val="2"/>
        <scheme val="minor"/>
      </rPr>
      <t>Spasticité</t>
    </r>
    <r>
      <rPr>
        <sz val="10"/>
        <color theme="1"/>
        <rFont val="Calibri"/>
        <family val="2"/>
        <scheme val="minor"/>
      </rPr>
      <t xml:space="preserve"> | Echelle de Tardieu [3]</t>
    </r>
  </si>
  <si>
    <r>
      <rPr>
        <b/>
        <sz val="10"/>
        <color theme="1"/>
        <rFont val="Calibri"/>
        <family val="2"/>
        <scheme val="minor"/>
      </rPr>
      <t>Sélectivité</t>
    </r>
    <r>
      <rPr>
        <sz val="10"/>
        <color theme="1"/>
        <rFont val="Calibri"/>
        <family val="2"/>
        <scheme val="minor"/>
      </rPr>
      <t xml:space="preserve"> | Boyd</t>
    </r>
  </si>
  <si>
    <r>
      <rPr>
        <b/>
        <sz val="10"/>
        <color theme="1"/>
        <rFont val="Calibri"/>
        <family val="2"/>
        <scheme val="minor"/>
      </rPr>
      <t>Sélectivité</t>
    </r>
    <r>
      <rPr>
        <sz val="10"/>
        <color theme="1"/>
        <rFont val="Calibri"/>
        <family val="2"/>
        <scheme val="minor"/>
      </rPr>
      <t xml:space="preserve"> | CMS</t>
    </r>
  </si>
  <si>
    <t>Pas de CMS, minime contraction</t>
  </si>
  <si>
    <t>0.5</t>
  </si>
  <si>
    <t>1.5</t>
  </si>
  <si>
    <t>Mauvais contrôle sélectif, commande dissociée, mouvement limité, cocontractions possibles</t>
  </si>
  <si>
    <t>CMS correct mais défaut de fluidité ou limitation dans le mouvement (cocontractions)</t>
  </si>
  <si>
    <t>CMS parfait, contraction et muscles appropriés</t>
  </si>
  <si>
    <t>Pas de mouvement (mvt)</t>
  </si>
  <si>
    <t>Mvt limité EDL et/ou EHL</t>
  </si>
  <si>
    <t>Mvt EDL/EHL et peu de TA</t>
  </si>
  <si>
    <t>Noter l'angle auquel l'accroche</t>
  </si>
  <si>
    <t>se fait sentir</t>
  </si>
  <si>
    <t>Confusion test</t>
  </si>
  <si>
    <t>Résistance plus marquée mais mvt facilement réalisable</t>
  </si>
  <si>
    <t>Légère augmentation du tonus
(accroche sur moins la moitié de l'amplitude)</t>
  </si>
  <si>
    <t>Contraction et mvt minimes et/ou bcp de cocontractions</t>
  </si>
  <si>
    <t>Aucun mouvement</t>
  </si>
  <si>
    <t>Mobilité limitée</t>
  </si>
  <si>
    <t>Mobilité normale
(neutre, inversion, eversion)</t>
  </si>
  <si>
    <t>Mvt complet surtout TA, CT +</t>
  </si>
  <si>
    <r>
      <rPr>
        <b/>
        <sz val="10"/>
        <color theme="1"/>
        <rFont val="Calibri"/>
        <family val="2"/>
        <scheme val="minor"/>
      </rPr>
      <t>Cotation</t>
    </r>
    <r>
      <rPr>
        <sz val="10"/>
        <color theme="1"/>
        <rFont val="Calibri"/>
        <family val="2"/>
        <scheme val="minor"/>
      </rPr>
      <t xml:space="preserve"> spécifique</t>
    </r>
  </si>
  <si>
    <t>HANCHE</t>
  </si>
  <si>
    <t>GENOU</t>
  </si>
  <si>
    <t>CHEVILLE</t>
  </si>
  <si>
    <t>PIED</t>
  </si>
  <si>
    <r>
      <t>Extension (Thomas, DD)</t>
    </r>
    <r>
      <rPr>
        <i/>
        <sz val="8"/>
        <rFont val="Calibri"/>
        <family val="2"/>
      </rPr>
      <t xml:space="preserve"> (° deg)</t>
    </r>
  </si>
  <si>
    <r>
      <t>Abduction (hanche 0°, genou 0°)</t>
    </r>
    <r>
      <rPr>
        <i/>
        <sz val="8"/>
        <rFont val="Calibri"/>
        <family val="2"/>
      </rPr>
      <t xml:space="preserve"> (° deg)</t>
    </r>
  </si>
  <si>
    <r>
      <t>Rotation Int|Ext (decubitus dorsal)</t>
    </r>
    <r>
      <rPr>
        <i/>
        <sz val="8"/>
        <rFont val="Calibri"/>
        <family val="2"/>
      </rPr>
      <t xml:space="preserve"> (° deg)</t>
    </r>
  </si>
  <si>
    <r>
      <t>Rotation Int|Ext (decubitus ventral)</t>
    </r>
    <r>
      <rPr>
        <i/>
        <sz val="8"/>
        <rFont val="Calibri"/>
        <family val="2"/>
      </rPr>
      <t xml:space="preserve"> (° deg)</t>
    </r>
  </si>
  <si>
    <r>
      <t xml:space="preserve">Anteversion fémorale </t>
    </r>
    <r>
      <rPr>
        <i/>
        <sz val="8"/>
        <rFont val="Calibri"/>
        <family val="2"/>
      </rPr>
      <t>(° deg)</t>
    </r>
  </si>
  <si>
    <r>
      <t>Force fléchisseurs (</t>
    </r>
    <r>
      <rPr>
        <i/>
        <sz val="8"/>
        <rFont val="Calibri"/>
        <family val="2"/>
      </rPr>
      <t>MRC | CMS)</t>
    </r>
  </si>
  <si>
    <r>
      <t>Force extenseurs (</t>
    </r>
    <r>
      <rPr>
        <i/>
        <sz val="8"/>
        <rFont val="Calibri"/>
        <family val="2"/>
      </rPr>
      <t>MRC | CMS)</t>
    </r>
  </si>
  <si>
    <r>
      <t>Force abducteurs (</t>
    </r>
    <r>
      <rPr>
        <i/>
        <sz val="8"/>
        <rFont val="Calibri"/>
        <family val="2"/>
      </rPr>
      <t>MRC | CMS)</t>
    </r>
  </si>
  <si>
    <r>
      <t>Spasticité adducteurs (</t>
    </r>
    <r>
      <rPr>
        <i/>
        <sz val="8"/>
        <rFont val="Calibri"/>
        <family val="2"/>
      </rPr>
      <t>Ashworth modifié | Tardieu °)</t>
    </r>
  </si>
  <si>
    <r>
      <t xml:space="preserve">Extension </t>
    </r>
    <r>
      <rPr>
        <i/>
        <sz val="8"/>
        <rFont val="Calibri"/>
        <family val="2"/>
      </rPr>
      <t>(° deg)</t>
    </r>
  </si>
  <si>
    <r>
      <rPr>
        <sz val="8"/>
        <rFont val="Calibri"/>
        <family val="2"/>
      </rPr>
      <t xml:space="preserve">Angle mort </t>
    </r>
    <r>
      <rPr>
        <i/>
        <sz val="8"/>
        <rFont val="Calibri"/>
        <family val="2"/>
      </rPr>
      <t>(° deg)</t>
    </r>
  </si>
  <si>
    <r>
      <rPr>
        <sz val="8"/>
        <rFont val="Calibri"/>
        <family val="2"/>
      </rPr>
      <t xml:space="preserve">Rotule haute </t>
    </r>
    <r>
      <rPr>
        <i/>
        <sz val="8"/>
        <rFont val="Calibri"/>
        <family val="2"/>
      </rPr>
      <t>(cm)</t>
    </r>
  </si>
  <si>
    <r>
      <t xml:space="preserve">Angle poplité unilatéral </t>
    </r>
    <r>
      <rPr>
        <i/>
        <sz val="8"/>
        <rFont val="Calibri"/>
        <family val="2"/>
      </rPr>
      <t>(° deg)</t>
    </r>
  </si>
  <si>
    <r>
      <t xml:space="preserve">Angle poplité bilatéral (pelvis à 0°) </t>
    </r>
    <r>
      <rPr>
        <i/>
        <sz val="8"/>
        <rFont val="Calibri"/>
        <family val="2"/>
      </rPr>
      <t>(° deg)</t>
    </r>
  </si>
  <si>
    <r>
      <t>Spasticité fléchisseurs (</t>
    </r>
    <r>
      <rPr>
        <i/>
        <sz val="8"/>
        <rFont val="Calibri"/>
        <family val="2"/>
      </rPr>
      <t>Ashworth modifié | Tardieu °)</t>
    </r>
  </si>
  <si>
    <r>
      <t>Spasticité extenseurs / Duncan E. (</t>
    </r>
    <r>
      <rPr>
        <i/>
        <sz val="8"/>
        <rFont val="Calibri"/>
        <family val="2"/>
      </rPr>
      <t>Ashworth modifié | Tardieu °)</t>
    </r>
  </si>
  <si>
    <r>
      <t>Dorsiflexion (genou 0°)</t>
    </r>
    <r>
      <rPr>
        <b/>
        <sz val="8"/>
        <rFont val="Calibri"/>
        <family val="2"/>
      </rPr>
      <t xml:space="preserve"> </t>
    </r>
    <r>
      <rPr>
        <i/>
        <sz val="8"/>
        <rFont val="Calibri"/>
        <family val="2"/>
      </rPr>
      <t xml:space="preserve">(° deg) </t>
    </r>
    <r>
      <rPr>
        <b/>
        <sz val="8"/>
        <rFont val="Calibri"/>
        <family val="2"/>
      </rPr>
      <t>(R1 de Boyd)</t>
    </r>
  </si>
  <si>
    <r>
      <t xml:space="preserve">Dorsiflexion (genou 90°) </t>
    </r>
    <r>
      <rPr>
        <i/>
        <sz val="8"/>
        <rFont val="Calibri"/>
        <family val="2"/>
      </rPr>
      <t>(° deg)</t>
    </r>
  </si>
  <si>
    <r>
      <t>Torsion tibiale</t>
    </r>
    <r>
      <rPr>
        <i/>
        <sz val="8"/>
        <rFont val="Calibri"/>
        <family val="2"/>
      </rPr>
      <t xml:space="preserve"> (° deg)</t>
    </r>
  </si>
  <si>
    <r>
      <t>Force tibialis anterior (</t>
    </r>
    <r>
      <rPr>
        <i/>
        <sz val="8"/>
        <rFont val="Calibri"/>
        <family val="2"/>
      </rPr>
      <t>MRC | Boyd)</t>
    </r>
  </si>
  <si>
    <r>
      <t>Force peroneus longus (</t>
    </r>
    <r>
      <rPr>
        <i/>
        <sz val="8"/>
        <rFont val="Calibri"/>
        <family val="2"/>
      </rPr>
      <t>MRC | CMS)</t>
    </r>
  </si>
  <si>
    <r>
      <t>Force tibialis posterior (</t>
    </r>
    <r>
      <rPr>
        <i/>
        <sz val="8"/>
        <rFont val="Calibri"/>
        <family val="2"/>
      </rPr>
      <t>MRC | CMS)</t>
    </r>
  </si>
  <si>
    <r>
      <t>Force gastroc-soleus (</t>
    </r>
    <r>
      <rPr>
        <i/>
        <sz val="8"/>
        <rFont val="Calibri"/>
        <family val="2"/>
      </rPr>
      <t>MRC | CMS)</t>
    </r>
  </si>
  <si>
    <r>
      <t>Spasticité gastroc-soleus (</t>
    </r>
    <r>
      <rPr>
        <i/>
        <sz val="8"/>
        <rFont val="Calibri"/>
        <family val="2"/>
      </rPr>
      <t xml:space="preserve">Ashworth mod | Tardieu (° deg) = </t>
    </r>
    <r>
      <rPr>
        <b/>
        <i/>
        <sz val="8"/>
        <rFont val="Calibri"/>
        <family val="2"/>
      </rPr>
      <t>R2</t>
    </r>
    <r>
      <rPr>
        <i/>
        <sz val="8"/>
        <rFont val="Calibri"/>
        <family val="2"/>
      </rPr>
      <t>)</t>
    </r>
  </si>
  <si>
    <r>
      <t xml:space="preserve">Spasticité gastroc-soleus : </t>
    </r>
    <r>
      <rPr>
        <i/>
        <sz val="8"/>
        <rFont val="Calibri"/>
        <family val="2"/>
      </rPr>
      <t>R1-R2 (° deg)</t>
    </r>
  </si>
  <si>
    <r>
      <t xml:space="preserve">Axe cruro-pédieux procubitus </t>
    </r>
    <r>
      <rPr>
        <i/>
        <sz val="8"/>
        <rFont val="Calibri"/>
        <family val="2"/>
      </rPr>
      <t>(° deg)</t>
    </r>
  </si>
  <si>
    <r>
      <t xml:space="preserve">VR|VG attitude spontanée </t>
    </r>
    <r>
      <rPr>
        <i/>
        <sz val="8"/>
        <rFont val="Calibri"/>
        <family val="2"/>
      </rPr>
      <t xml:space="preserve">(0, 1, 2) </t>
    </r>
  </si>
  <si>
    <r>
      <t xml:space="preserve">Adductus|Abductus avant-pied </t>
    </r>
    <r>
      <rPr>
        <i/>
        <sz val="8"/>
        <rFont val="Calibri"/>
        <family val="2"/>
      </rPr>
      <t>(° deg)</t>
    </r>
  </si>
  <si>
    <r>
      <t xml:space="preserve">Griffe passive </t>
    </r>
    <r>
      <rPr>
        <i/>
        <sz val="8"/>
        <rFont val="Calibri"/>
        <family val="2"/>
      </rPr>
      <t>(0: NON, 1: OUI)</t>
    </r>
  </si>
  <si>
    <r>
      <t xml:space="preserve">Griffe dynamique </t>
    </r>
    <r>
      <rPr>
        <i/>
        <sz val="8"/>
        <rFont val="Calibri"/>
        <family val="2"/>
      </rPr>
      <t>(0: NON, 1: OUI)</t>
    </r>
  </si>
  <si>
    <r>
      <t xml:space="preserve">Flexion </t>
    </r>
    <r>
      <rPr>
        <i/>
        <sz val="8"/>
        <rFont val="Calibri"/>
        <family val="2"/>
      </rPr>
      <t>(° deg)</t>
    </r>
  </si>
  <si>
    <r>
      <t xml:space="preserve">Extension (Staheli : DV, Genou à 0° ) IP seul </t>
    </r>
    <r>
      <rPr>
        <i/>
        <sz val="8"/>
        <rFont val="Calibri"/>
        <family val="2"/>
      </rPr>
      <t>(° deg)</t>
    </r>
  </si>
  <si>
    <r>
      <t xml:space="preserve">Extension (Staheli DV, Genou à 90°) IP + RF </t>
    </r>
    <r>
      <rPr>
        <i/>
        <sz val="8"/>
        <rFont val="Calibri"/>
        <family val="2"/>
      </rPr>
      <t>(° deg)</t>
    </r>
  </si>
  <si>
    <r>
      <t>Abduction  (Flex-H / Flex-G) Add B</t>
    </r>
    <r>
      <rPr>
        <i/>
        <sz val="8"/>
        <rFont val="Calibri"/>
        <family val="2"/>
      </rPr>
      <t xml:space="preserve"> (° deg)</t>
    </r>
  </si>
  <si>
    <r>
      <t>Abduction (Ext-H / Flex-G) Add B+L</t>
    </r>
    <r>
      <rPr>
        <i/>
        <sz val="8"/>
        <rFont val="Calibri"/>
        <family val="2"/>
      </rPr>
      <t xml:space="preserve"> (° deg)</t>
    </r>
  </si>
  <si>
    <r>
      <t xml:space="preserve">Adduction </t>
    </r>
    <r>
      <rPr>
        <i/>
        <sz val="8"/>
        <rFont val="Calibri"/>
        <family val="2"/>
      </rPr>
      <t>(° deg)</t>
    </r>
  </si>
  <si>
    <r>
      <t>Force adducteurs (</t>
    </r>
    <r>
      <rPr>
        <i/>
        <sz val="8"/>
        <rFont val="Calibri"/>
        <family val="2"/>
      </rPr>
      <t>MRC | CMS)</t>
    </r>
  </si>
  <si>
    <r>
      <t>Force rotateurs internes (</t>
    </r>
    <r>
      <rPr>
        <i/>
        <sz val="8"/>
        <rFont val="Calibri"/>
        <family val="2"/>
      </rPr>
      <t>MRC | CMS)</t>
    </r>
  </si>
  <si>
    <r>
      <t>Force rotateurs externes (</t>
    </r>
    <r>
      <rPr>
        <i/>
        <sz val="8"/>
        <rFont val="Calibri"/>
        <family val="2"/>
      </rPr>
      <t>MRC | CMS)</t>
    </r>
  </si>
  <si>
    <r>
      <t>Spasticité abducteurs (</t>
    </r>
    <r>
      <rPr>
        <i/>
        <sz val="8"/>
        <rFont val="Calibri"/>
        <family val="2"/>
      </rPr>
      <t>Ashworth modifié | Tardieu °)</t>
    </r>
  </si>
  <si>
    <r>
      <t>Spasticité rotateurs internes (</t>
    </r>
    <r>
      <rPr>
        <i/>
        <sz val="8"/>
        <rFont val="Calibri"/>
        <family val="2"/>
      </rPr>
      <t>Ashworth modifié | Tardieu °)</t>
    </r>
  </si>
  <si>
    <r>
      <t>Spasticité rotateurs externes (</t>
    </r>
    <r>
      <rPr>
        <i/>
        <sz val="8"/>
        <rFont val="Calibri"/>
        <family val="2"/>
      </rPr>
      <t>Ashworth modifié | Tardieu °)</t>
    </r>
  </si>
  <si>
    <r>
      <t xml:space="preserve">Flexion plantaire </t>
    </r>
    <r>
      <rPr>
        <i/>
        <sz val="8"/>
        <rFont val="Calibri"/>
        <family val="2"/>
      </rPr>
      <t>(° deg)</t>
    </r>
  </si>
  <si>
    <r>
      <t>Flexion dorsale DD (Silverskold)</t>
    </r>
    <r>
      <rPr>
        <i/>
        <sz val="8"/>
        <rFont val="Calibri"/>
        <family val="2"/>
      </rPr>
      <t xml:space="preserve"> (° deg)</t>
    </r>
  </si>
  <si>
    <r>
      <t xml:space="preserve">Flexion dorsale max en charge (fente avant) </t>
    </r>
    <r>
      <rPr>
        <i/>
        <sz val="8"/>
        <rFont val="Calibri"/>
        <family val="2"/>
      </rPr>
      <t>(° deg)</t>
    </r>
  </si>
  <si>
    <r>
      <t>Force ext dig long (</t>
    </r>
    <r>
      <rPr>
        <i/>
        <sz val="8"/>
        <rFont val="Calibri"/>
        <family val="2"/>
      </rPr>
      <t>MRC | CMS)</t>
    </r>
  </si>
  <si>
    <r>
      <t>Force ext hall long (</t>
    </r>
    <r>
      <rPr>
        <i/>
        <sz val="8"/>
        <rFont val="Calibri"/>
        <family val="2"/>
      </rPr>
      <t>MRC | CMS)</t>
    </r>
  </si>
  <si>
    <r>
      <t>Force flex dig long (</t>
    </r>
    <r>
      <rPr>
        <i/>
        <sz val="8"/>
        <rFont val="Calibri"/>
        <family val="2"/>
      </rPr>
      <t>MRC</t>
    </r>
    <r>
      <rPr>
        <sz val="8"/>
        <rFont val="Calibri"/>
        <family val="2"/>
      </rPr>
      <t xml:space="preserve"> </t>
    </r>
    <r>
      <rPr>
        <i/>
        <sz val="8"/>
        <rFont val="Calibri"/>
        <family val="2"/>
      </rPr>
      <t>| CMS)</t>
    </r>
  </si>
  <si>
    <r>
      <t>Force flex hall long (</t>
    </r>
    <r>
      <rPr>
        <i/>
        <sz val="8"/>
        <rFont val="Calibri"/>
        <family val="2"/>
      </rPr>
      <t>MRC | CMS)</t>
    </r>
  </si>
  <si>
    <r>
      <t xml:space="preserve">Axe Bi-Malléolaire assis </t>
    </r>
    <r>
      <rPr>
        <i/>
        <sz val="8"/>
        <rFont val="Calibri"/>
        <family val="2"/>
      </rPr>
      <t>(° deg)</t>
    </r>
  </si>
  <si>
    <r>
      <t xml:space="preserve">VR|VG en charge </t>
    </r>
    <r>
      <rPr>
        <i/>
        <sz val="8"/>
        <rFont val="Calibri"/>
        <family val="2"/>
      </rPr>
      <t xml:space="preserve">(0, 1, 2) </t>
    </r>
  </si>
  <si>
    <r>
      <t>Dislocation médio-tarsienne</t>
    </r>
    <r>
      <rPr>
        <i/>
        <sz val="8"/>
        <rFont val="Calibri"/>
        <family val="2"/>
      </rPr>
      <t xml:space="preserve"> (0, 1, 2)</t>
    </r>
  </si>
  <si>
    <r>
      <t xml:space="preserve">Rétraction fléchisseurs orteils </t>
    </r>
    <r>
      <rPr>
        <i/>
        <sz val="8"/>
        <rFont val="Calibri"/>
        <family val="2"/>
      </rPr>
      <t>(0, 1, 2)</t>
    </r>
  </si>
  <si>
    <r>
      <t>Pied plat</t>
    </r>
    <r>
      <rPr>
        <i/>
        <sz val="8"/>
        <rFont val="Calibri"/>
        <family val="2"/>
      </rPr>
      <t xml:space="preserve"> (0, 1, 2)</t>
    </r>
  </si>
  <si>
    <r>
      <t xml:space="preserve">Pied cavus </t>
    </r>
    <r>
      <rPr>
        <i/>
        <sz val="8"/>
        <rFont val="Calibri"/>
        <family val="2"/>
      </rPr>
      <t>(0, 1, 2)</t>
    </r>
  </si>
  <si>
    <r>
      <t xml:space="preserve">Pied convexe </t>
    </r>
    <r>
      <rPr>
        <i/>
        <sz val="8"/>
        <rFont val="Calibri"/>
        <family val="2"/>
      </rPr>
      <t>(0, 1, 2)</t>
    </r>
  </si>
  <si>
    <r>
      <t>Hallux valgus</t>
    </r>
    <r>
      <rPr>
        <b/>
        <sz val="8"/>
        <rFont val="Calibri"/>
        <family val="2"/>
      </rPr>
      <t xml:space="preserve"> </t>
    </r>
    <r>
      <rPr>
        <i/>
        <sz val="8"/>
        <rFont val="Calibri"/>
        <family val="2"/>
      </rPr>
      <t>(0, 1, 2)</t>
    </r>
  </si>
  <si>
    <r>
      <t xml:space="preserve">Hallux flexus </t>
    </r>
    <r>
      <rPr>
        <i/>
        <sz val="8"/>
        <rFont val="Calibri"/>
        <family val="2"/>
      </rPr>
      <t>(0, 1, 2)</t>
    </r>
  </si>
  <si>
    <r>
      <t xml:space="preserve">Hallux rigidus </t>
    </r>
    <r>
      <rPr>
        <i/>
        <sz val="8"/>
        <rFont val="Calibri"/>
        <family val="2"/>
      </rPr>
      <t>(0, 1, 2)</t>
    </r>
  </si>
  <si>
    <t>Sensibilité</t>
  </si>
  <si>
    <t>Profonde</t>
  </si>
  <si>
    <t>Normale</t>
  </si>
  <si>
    <t>Superficielle</t>
  </si>
  <si>
    <t>Sensibilite</t>
  </si>
  <si>
    <t>Hypoesthesie</t>
  </si>
  <si>
    <t>Anesthesie</t>
  </si>
  <si>
    <t>Homme</t>
  </si>
  <si>
    <t>Modeles</t>
  </si>
  <si>
    <t>Terrain de marche</t>
  </si>
  <si>
    <t>EMG droit</t>
  </si>
  <si>
    <t>EMG gauche</t>
  </si>
  <si>
    <t>Forceplates</t>
  </si>
  <si>
    <t>Système</t>
  </si>
  <si>
    <t>Equipe</t>
  </si>
  <si>
    <t>Nom pathologie</t>
  </si>
  <si>
    <t>Type pathologie</t>
  </si>
  <si>
    <t>Type accident</t>
  </si>
  <si>
    <t>Cote affecte</t>
  </si>
  <si>
    <t>Membre affecte</t>
  </si>
  <si>
    <t>Liste muscles</t>
  </si>
  <si>
    <t>Oui/non</t>
  </si>
  <si>
    <t>Femme</t>
  </si>
  <si>
    <t>Piste de marche</t>
  </si>
  <si>
    <t>none</t>
  </si>
  <si>
    <t>Qualisys</t>
  </si>
  <si>
    <t>F. Chantraine</t>
  </si>
  <si>
    <t>Evaluation à titre diagnostique</t>
  </si>
  <si>
    <t>Hémiplégie</t>
  </si>
  <si>
    <t>Neurologique</t>
  </si>
  <si>
    <t>AVC ischémique</t>
  </si>
  <si>
    <t>Droit</t>
  </si>
  <si>
    <t>Inférieur</t>
  </si>
  <si>
    <t>Right gluteus maximus</t>
  </si>
  <si>
    <t>Oui</t>
  </si>
  <si>
    <t>Tapis de marche</t>
  </si>
  <si>
    <t>----------------------------------</t>
  </si>
  <si>
    <t>BTS</t>
  </si>
  <si>
    <t>E. Kolanowski</t>
  </si>
  <si>
    <t>Suivi longitudinal</t>
  </si>
  <si>
    <t>Monoplégie</t>
  </si>
  <si>
    <t>Orthopédique / Traumatologique</t>
  </si>
  <si>
    <t>AVC hémorragique</t>
  </si>
  <si>
    <t>Supérieur</t>
  </si>
  <si>
    <t>Right gluteus medius</t>
  </si>
  <si>
    <t>Non</t>
  </si>
  <si>
    <t>A. Remacle</t>
  </si>
  <si>
    <t>Bilan pré-thérapeutique</t>
  </si>
  <si>
    <t>Diplégie</t>
  </si>
  <si>
    <t>Aucune</t>
  </si>
  <si>
    <t>Autre</t>
  </si>
  <si>
    <t>Les deux</t>
  </si>
  <si>
    <t>Right gluteus minimus</t>
  </si>
  <si>
    <t>C. Schreiber</t>
  </si>
  <si>
    <t>Bilan post-thérapeutique</t>
  </si>
  <si>
    <t>Quadriplégie</t>
  </si>
  <si>
    <t>Aucun</t>
  </si>
  <si>
    <t>Right adductor longus</t>
  </si>
  <si>
    <t>F. Moissenet</t>
  </si>
  <si>
    <t>Etude clinique</t>
  </si>
  <si>
    <t>Triplégie</t>
  </si>
  <si>
    <t>Right adductor brevis</t>
  </si>
  <si>
    <t>G. Areno</t>
  </si>
  <si>
    <t>Expertise</t>
  </si>
  <si>
    <t>Paraplégie</t>
  </si>
  <si>
    <t>Right adductor magnus</t>
  </si>
  <si>
    <t>P. Filipetti</t>
  </si>
  <si>
    <t>Norme</t>
  </si>
  <si>
    <t>Tétraplégie</t>
  </si>
  <si>
    <t>Right pectineus</t>
  </si>
  <si>
    <t>A. Naaim</t>
  </si>
  <si>
    <t>Right illiacus</t>
  </si>
  <si>
    <t>SEP</t>
  </si>
  <si>
    <t>Right psoas</t>
  </si>
  <si>
    <t>Charcot-Marie</t>
  </si>
  <si>
    <t>Right quadratus femoris</t>
  </si>
  <si>
    <t>Guillain-Barré</t>
  </si>
  <si>
    <t>Right gemelli</t>
  </si>
  <si>
    <t>Strumpell-Lorrain</t>
  </si>
  <si>
    <t>Right piriformis</t>
  </si>
  <si>
    <t>Poliomyélite</t>
  </si>
  <si>
    <t>Right tensor fasica lata</t>
  </si>
  <si>
    <t>Myopathie</t>
  </si>
  <si>
    <t>Right gracilis</t>
  </si>
  <si>
    <t>Parkinson</t>
  </si>
  <si>
    <t>Right sartorius</t>
  </si>
  <si>
    <t>TC</t>
  </si>
  <si>
    <t>Right semimembranosus</t>
  </si>
  <si>
    <t>Right semitendinosus</t>
  </si>
  <si>
    <t>Torticolis spasmodique</t>
  </si>
  <si>
    <t>Right biceps femoris long head</t>
  </si>
  <si>
    <t>Dystonie cervicale</t>
  </si>
  <si>
    <t>Right biceps femoris short head</t>
  </si>
  <si>
    <t>Right rectus femoris</t>
  </si>
  <si>
    <t>Scoliose</t>
  </si>
  <si>
    <t>Right vastus medialis</t>
  </si>
  <si>
    <t>Sciatique</t>
  </si>
  <si>
    <t>Right vastus intermedialis</t>
  </si>
  <si>
    <t>PTH</t>
  </si>
  <si>
    <t>Right vastus lateralis</t>
  </si>
  <si>
    <t>PTG</t>
  </si>
  <si>
    <t>Right gastrocnemius medialis</t>
  </si>
  <si>
    <t>Right gastrocnemius lateralis</t>
  </si>
  <si>
    <t>Amputation trans-tibiale</t>
  </si>
  <si>
    <t>Right soleus</t>
  </si>
  <si>
    <t>Amputation trans-femorale</t>
  </si>
  <si>
    <t>Right tibialis posterior</t>
  </si>
  <si>
    <t>Right tibialis anterior</t>
  </si>
  <si>
    <t>Right peroneus brevis</t>
  </si>
  <si>
    <t>Right peroneus longus</t>
  </si>
  <si>
    <t>Right peroneus tertius</t>
  </si>
  <si>
    <t>Right extensor digitorum longus</t>
  </si>
  <si>
    <t>Right extensor hallucis longus</t>
  </si>
  <si>
    <t>Right flexor digitorum longus</t>
  </si>
  <si>
    <t>Right flexor hallucis longus</t>
  </si>
  <si>
    <t>Left gluteus maximus</t>
  </si>
  <si>
    <t>Left gluteus medius</t>
  </si>
  <si>
    <t>Left gluteus minimus</t>
  </si>
  <si>
    <t>Left adductor longus</t>
  </si>
  <si>
    <t>Left adductor brevis</t>
  </si>
  <si>
    <t>Left adductor magnus</t>
  </si>
  <si>
    <t>Left pectineus</t>
  </si>
  <si>
    <t>Left illiacus</t>
  </si>
  <si>
    <t>Left psoas</t>
  </si>
  <si>
    <t>Left quadratus femoris</t>
  </si>
  <si>
    <t>Left gemelli</t>
  </si>
  <si>
    <t>Left piriformis</t>
  </si>
  <si>
    <t>Left tensor fasica lata</t>
  </si>
  <si>
    <t>Left gracilis</t>
  </si>
  <si>
    <t>Left sartorius</t>
  </si>
  <si>
    <t>Left semimembranosus</t>
  </si>
  <si>
    <t>Left semitendinosus</t>
  </si>
  <si>
    <t>Left biceps femoris long head</t>
  </si>
  <si>
    <t>Left biceps femoris short head</t>
  </si>
  <si>
    <t>Left rectus femoris</t>
  </si>
  <si>
    <t>Left vastus medialis</t>
  </si>
  <si>
    <t>Left vastus intermedialis</t>
  </si>
  <si>
    <t>Left vastus lateralis</t>
  </si>
  <si>
    <t>Left gastrocnemius medialis</t>
  </si>
  <si>
    <t>Left gastrocnemius lateralis</t>
  </si>
  <si>
    <t>Left soleus</t>
  </si>
  <si>
    <t>Left tibialis posterior</t>
  </si>
  <si>
    <t>Left tibialis anterior</t>
  </si>
  <si>
    <t>Left peroneus brevis</t>
  </si>
  <si>
    <t>Left peroneus longus</t>
  </si>
  <si>
    <t>Left peroneus tertius</t>
  </si>
  <si>
    <t>Left extensor digitorum longus</t>
  </si>
  <si>
    <t>Left extensor hallucis longus</t>
  </si>
  <si>
    <t>Left flexor digitorum longus</t>
  </si>
  <si>
    <t>Left flexor hallucis longus</t>
  </si>
  <si>
    <t>Operateur</t>
  </si>
  <si>
    <t>Date de n.</t>
  </si>
  <si>
    <t>JJ/MM/AAAA</t>
  </si>
  <si>
    <r>
      <t xml:space="preserve">Poids </t>
    </r>
    <r>
      <rPr>
        <sz val="9"/>
        <rFont val="Arial"/>
        <family val="2"/>
      </rPr>
      <t>(kg)</t>
    </r>
  </si>
  <si>
    <r>
      <t>Taille</t>
    </r>
    <r>
      <rPr>
        <sz val="9"/>
        <rFont val="Arial"/>
        <family val="2"/>
      </rPr>
      <t xml:space="preserve"> (cm)</t>
    </r>
  </si>
  <si>
    <r>
      <t xml:space="preserve">IMC </t>
    </r>
    <r>
      <rPr>
        <sz val="9"/>
        <color theme="1"/>
        <rFont val="Arial"/>
        <family val="2"/>
      </rPr>
      <t>(kg / cm2)</t>
    </r>
  </si>
  <si>
    <t>Protocole</t>
  </si>
  <si>
    <t>Terrain</t>
  </si>
  <si>
    <t>Chaines cinématiques</t>
  </si>
  <si>
    <t>EMG</t>
  </si>
  <si>
    <r>
      <t xml:space="preserve">Membre sup. </t>
    </r>
    <r>
      <rPr>
        <sz val="9"/>
        <color theme="1"/>
        <rFont val="Arial"/>
        <family val="2"/>
      </rPr>
      <t>(Msup)</t>
    </r>
  </si>
  <si>
    <r>
      <t xml:space="preserve">Membre inf. </t>
    </r>
    <r>
      <rPr>
        <sz val="9"/>
        <color theme="1"/>
        <rFont val="Arial"/>
        <family val="2"/>
      </rPr>
      <t>(Minf)</t>
    </r>
  </si>
  <si>
    <r>
      <t xml:space="preserve">Tête/tronc </t>
    </r>
    <r>
      <rPr>
        <sz val="9"/>
        <color theme="1"/>
        <rFont val="Arial"/>
        <family val="2"/>
      </rPr>
      <t>(Mpost)</t>
    </r>
  </si>
  <si>
    <r>
      <t xml:space="preserve">Pied multisegm. </t>
    </r>
    <r>
      <rPr>
        <sz val="9"/>
        <color theme="1"/>
        <rFont val="Arial"/>
        <family val="2"/>
      </rPr>
      <t>(Mpied)</t>
    </r>
  </si>
  <si>
    <t>Acquisitions</t>
  </si>
  <si>
    <t>Condition</t>
  </si>
  <si>
    <t>Détails</t>
  </si>
  <si>
    <t>Minf</t>
  </si>
  <si>
    <t>Msup</t>
  </si>
  <si>
    <t>Mpost</t>
  </si>
  <si>
    <t>Mpied</t>
  </si>
  <si>
    <t>static01</t>
  </si>
  <si>
    <t>static02</t>
  </si>
  <si>
    <t>static03</t>
  </si>
  <si>
    <t>static04</t>
  </si>
  <si>
    <t>static05</t>
  </si>
  <si>
    <t>toutes conditions</t>
  </si>
  <si>
    <t>N-N-NNN-NN</t>
  </si>
  <si>
    <t>Reconstruction achevée</t>
  </si>
  <si>
    <t>Reconstruction à faire</t>
  </si>
  <si>
    <t>Pathologie</t>
  </si>
  <si>
    <t>D. de l'accident</t>
  </si>
  <si>
    <t>Type d'accident</t>
  </si>
  <si>
    <t>Côté affecté</t>
  </si>
  <si>
    <t>Traitement</t>
  </si>
  <si>
    <t>Divers</t>
  </si>
  <si>
    <t>Dév. Axe occipital</t>
  </si>
  <si>
    <t>Jambe droite (cm)</t>
  </si>
  <si>
    <t>Jambe gauche (cm)</t>
  </si>
  <si>
    <t>Supprimer le champ date si non applicable (NA)</t>
  </si>
  <si>
    <t>Paramètre</t>
  </si>
  <si>
    <t>Mvt complet, sélectif, sans CT</t>
  </si>
  <si>
    <r>
      <t xml:space="preserve">Au dessus ou au dessous de la courbe </t>
    </r>
    <r>
      <rPr>
        <i/>
        <sz val="8"/>
        <color theme="1"/>
        <rFont val="Calibri"/>
        <family val="2"/>
        <scheme val="minor"/>
      </rPr>
      <t>(suivant disponibilité)</t>
    </r>
  </si>
  <si>
    <r>
      <t xml:space="preserve">Au dessus ou au dessous de l'anomalie </t>
    </r>
    <r>
      <rPr>
        <i/>
        <sz val="8"/>
        <color theme="1"/>
        <rFont val="Calibri"/>
        <family val="2"/>
        <scheme val="minor"/>
      </rPr>
      <t>(suivant disponibilité)</t>
    </r>
  </si>
  <si>
    <t>Les pages qui suivent supportent l'évidence du compte-rendu fourni ci-dessus. Les sections Observations et Qualité contiennent des informations sur l'interprétation des données. Chaque déficit listé dans le compte-rendu est associé à un tableau reporté dans la section Evidence. Ce tableau apporte des éléments de preuve de l'importance de l'impact du déficit sur la marche. Les sections Examen et Comparaison complètent ce rapport et comportent l'examen clinique, les courbes issues de l'analyse quantifiée de la marche sur lesquelles les principales anomalies sont identifiées, pour l'examen présent et pour un jeu d'examens comparés, respectivement.</t>
  </si>
  <si>
    <t>Examen - Examen clinique                                                                                                1/2</t>
  </si>
  <si>
    <t>Examen - Examen clinique                                                                                                2/2</t>
  </si>
  <si>
    <t>Examen - Cinématique</t>
  </si>
  <si>
    <t>Examen - Cinétique</t>
  </si>
  <si>
    <t>Examen - Electromyographie</t>
  </si>
  <si>
    <t>trial01</t>
  </si>
  <si>
    <t>trial02</t>
  </si>
  <si>
    <t>trial03</t>
  </si>
  <si>
    <t>trial04</t>
  </si>
  <si>
    <t>trial05</t>
  </si>
  <si>
    <t>trial06</t>
  </si>
  <si>
    <t>trial07</t>
  </si>
  <si>
    <t>trial08</t>
  </si>
  <si>
    <t>trial09</t>
  </si>
  <si>
    <t>trial10</t>
  </si>
  <si>
    <t>trial11</t>
  </si>
  <si>
    <t>trial12</t>
  </si>
  <si>
    <t>trial13</t>
  </si>
  <si>
    <t>trial14</t>
  </si>
  <si>
    <t>trial15</t>
  </si>
  <si>
    <t>trial16</t>
  </si>
  <si>
    <t>trial17</t>
  </si>
  <si>
    <t>trial18</t>
  </si>
  <si>
    <t>trial19</t>
  </si>
  <si>
    <t>trial20</t>
  </si>
  <si>
    <t>trial21</t>
  </si>
  <si>
    <t>trial22</t>
  </si>
  <si>
    <t>trial23</t>
  </si>
  <si>
    <t>trial24</t>
  </si>
  <si>
    <t>trial25</t>
  </si>
  <si>
    <t>trial26</t>
  </si>
  <si>
    <t>trial27</t>
  </si>
  <si>
    <t>trial28</t>
  </si>
  <si>
    <t>trial29</t>
  </si>
  <si>
    <t>trial30</t>
  </si>
  <si>
    <t>trial31</t>
  </si>
  <si>
    <t>trial32</t>
  </si>
  <si>
    <t>trial33</t>
  </si>
  <si>
    <t>trial34</t>
  </si>
  <si>
    <t>trial35</t>
  </si>
  <si>
    <t>trial36</t>
  </si>
  <si>
    <t>trial37</t>
  </si>
  <si>
    <t>trial38</t>
  </si>
  <si>
    <t>trial39</t>
  </si>
  <si>
    <t>trial40</t>
  </si>
  <si>
    <t>trial41</t>
  </si>
  <si>
    <t>trial42</t>
  </si>
  <si>
    <t>trial43</t>
  </si>
  <si>
    <t>trial44</t>
  </si>
  <si>
    <t>trial45</t>
  </si>
  <si>
    <t>trial46</t>
  </si>
  <si>
    <t>trial47</t>
  </si>
  <si>
    <t>trial48</t>
  </si>
  <si>
    <t>trial49</t>
  </si>
  <si>
    <t>trial50</t>
  </si>
  <si>
    <t>trial51</t>
  </si>
  <si>
    <t>trial52</t>
  </si>
  <si>
    <t>trial53</t>
  </si>
  <si>
    <t>trial54</t>
  </si>
  <si>
    <t>trial55</t>
  </si>
  <si>
    <t>Aucun modèle</t>
  </si>
  <si>
    <t>Modèle complet</t>
  </si>
  <si>
    <t>Modèle simplifié</t>
  </si>
  <si>
    <t>R_tibialis_anterior</t>
  </si>
  <si>
    <t>R_soleus</t>
  </si>
  <si>
    <t>R_gastrocnemius_medialis</t>
  </si>
  <si>
    <t>R_vastus_medialis</t>
  </si>
  <si>
    <t>R_rectus_femoris</t>
  </si>
  <si>
    <t>R_semitendinosus</t>
  </si>
  <si>
    <t>R_gluteus_maximus</t>
  </si>
  <si>
    <t>R_gluteus_medius</t>
  </si>
  <si>
    <t>R_peroneus_longus</t>
  </si>
  <si>
    <t>R_semimembranosus</t>
  </si>
  <si>
    <t>R_adductors</t>
  </si>
  <si>
    <t>R_sternocleidomastoidius</t>
  </si>
  <si>
    <t>R_trapezius</t>
  </si>
  <si>
    <t>R_splenius_capitis</t>
  </si>
  <si>
    <t>R_leventor_scapulae</t>
  </si>
  <si>
    <t>R_ilio_psoas_wire</t>
  </si>
  <si>
    <t>R_tibialis_posterior_wire</t>
  </si>
  <si>
    <t>R_rectus_femoris_wire</t>
  </si>
  <si>
    <t>R_vastus_intermedius_wire</t>
  </si>
  <si>
    <t>R_vastus_medialis_wire</t>
  </si>
  <si>
    <t>R_vastus_lateralis_wire</t>
  </si>
  <si>
    <t>L_tibialis_anterior</t>
  </si>
  <si>
    <t>L_soleus</t>
  </si>
  <si>
    <t>L_gastrocnemius_medialis</t>
  </si>
  <si>
    <t>L_vastus_medialis</t>
  </si>
  <si>
    <t>L_rectus_femoris</t>
  </si>
  <si>
    <t>L_semitendinosus</t>
  </si>
  <si>
    <t>L_gluteus_maximus</t>
  </si>
  <si>
    <t>L_gluteus_medius</t>
  </si>
  <si>
    <t>L_peroneus_longus</t>
  </si>
  <si>
    <t>L_semimembranosus</t>
  </si>
  <si>
    <t>L_adductors</t>
  </si>
  <si>
    <t>L_sternocleidomastoidius</t>
  </si>
  <si>
    <t>L_trapezius</t>
  </si>
  <si>
    <t>L_splenius_capitis</t>
  </si>
  <si>
    <t>L_leventor_scapulae</t>
  </si>
  <si>
    <t>L_ilio_psoas_wire</t>
  </si>
  <si>
    <t>L_tibialis_posterior_wire</t>
  </si>
  <si>
    <t>L_rectus_femoris_wire</t>
  </si>
  <si>
    <t>L_vastus_intermedius_wire</t>
  </si>
  <si>
    <t>L_vastus_medialis_wire</t>
  </si>
  <si>
    <t>L_vastus_lateralis_wire</t>
  </si>
  <si>
    <t>Vidéo</t>
  </si>
  <si>
    <t>static06</t>
  </si>
  <si>
    <t>static07</t>
  </si>
  <si>
    <t>static08</t>
  </si>
  <si>
    <t>static09</t>
  </si>
  <si>
    <t>static10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</si>
</sst>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yy;@"/>
  </numFmts>
  <fonts count="37" x14ac:knownFonts="1">
    <font>
      <sz val="11"/>
      <color theme="1"/>
      <name val="Calibri"/>
      <family val="2"/>
      <scheme val="minor"/>
    </font>
    <font>
      <b/>
      <sz val="11"/>
      <color theme="1"/>
      <name val="Calibri"/>
      <family val="2"/>
      <scheme val="minor"/>
    </font>
    <font>
      <sz val="11"/>
      <color theme="1"/>
      <name val="Arial"/>
      <family val="2"/>
    </font>
    <font>
      <i/>
      <sz val="11"/>
      <color theme="1"/>
      <name val="Arial"/>
      <family val="2"/>
    </font>
    <font>
      <b/>
      <sz val="11"/>
      <color theme="1"/>
      <name val="Arial"/>
      <family val="2"/>
    </font>
    <font>
      <b/>
      <sz val="11"/>
      <name val="Arial"/>
      <family val="2"/>
    </font>
    <font>
      <sz val="11"/>
      <name val="Arial"/>
      <family val="2"/>
    </font>
    <font>
      <b/>
      <i/>
      <sz val="11"/>
      <color theme="1"/>
      <name val="Arial"/>
      <family val="2"/>
    </font>
    <font>
      <b/>
      <i/>
      <sz val="9"/>
      <color theme="0" tint="-0.34998626667073579"/>
      <name val="Arial"/>
      <family val="2"/>
    </font>
    <font>
      <i/>
      <sz val="9"/>
      <color theme="0" tint="-0.34998626667073579"/>
      <name val="Arial"/>
      <family val="2"/>
    </font>
    <font>
      <sz val="9"/>
      <color theme="1"/>
      <name val="Arial"/>
      <family val="2"/>
    </font>
    <font>
      <sz val="11"/>
      <color theme="1"/>
      <name val="Calibri"/>
      <family val="2"/>
    </font>
    <font>
      <i/>
      <sz val="8"/>
      <color theme="1"/>
      <name val="Arial"/>
      <family val="2"/>
    </font>
    <font>
      <i/>
      <sz val="8"/>
      <color theme="0" tint="-0.34998626667073579"/>
      <name val="Arial"/>
      <family val="2"/>
    </font>
    <font>
      <b/>
      <i/>
      <sz val="8"/>
      <color theme="0" tint="-0.34998626667073579"/>
      <name val="Arial"/>
      <family val="2"/>
    </font>
    <font>
      <sz val="11"/>
      <color rgb="FF0000C0"/>
      <name val="Arial"/>
      <family val="2"/>
    </font>
    <font>
      <sz val="11"/>
      <color rgb="FF0000C0"/>
      <name val="Calibri"/>
      <family val="2"/>
    </font>
    <font>
      <b/>
      <sz val="10"/>
      <color theme="1"/>
      <name val="Arial"/>
      <family val="2"/>
    </font>
    <font>
      <sz val="10"/>
      <color theme="1"/>
      <name val="Calibri"/>
      <family val="2"/>
      <scheme val="minor"/>
    </font>
    <font>
      <b/>
      <sz val="10"/>
      <color theme="1"/>
      <name val="Calibri"/>
      <family val="2"/>
      <scheme val="minor"/>
    </font>
    <font>
      <i/>
      <sz val="10"/>
      <color theme="1"/>
      <name val="Calibri"/>
      <family val="2"/>
      <scheme val="minor"/>
    </font>
    <font>
      <sz val="10"/>
      <name val="Arial"/>
      <family val="2"/>
    </font>
    <font>
      <b/>
      <sz val="8"/>
      <color rgb="FF000000"/>
      <name val="Calibri"/>
      <family val="2"/>
    </font>
    <font>
      <sz val="8"/>
      <name val="Calibri"/>
      <family val="2"/>
    </font>
    <font>
      <i/>
      <sz val="8"/>
      <name val="Calibri"/>
      <family val="2"/>
    </font>
    <font>
      <sz val="8"/>
      <color rgb="FF000000"/>
      <name val="Calibri"/>
      <family val="2"/>
    </font>
    <font>
      <b/>
      <sz val="8"/>
      <name val="Calibri"/>
      <family val="2"/>
    </font>
    <font>
      <b/>
      <i/>
      <sz val="8"/>
      <name val="Calibri"/>
      <family val="2"/>
    </font>
    <font>
      <b/>
      <sz val="8"/>
      <color theme="1"/>
      <name val="Calibri"/>
      <family val="2"/>
      <scheme val="minor"/>
    </font>
    <font>
      <sz val="8"/>
      <color theme="1"/>
      <name val="Calibri"/>
      <family val="2"/>
      <scheme val="minor"/>
    </font>
    <font>
      <b/>
      <i/>
      <sz val="11"/>
      <color theme="1"/>
      <name val="Calibri"/>
      <family val="2"/>
      <scheme val="minor"/>
    </font>
    <font>
      <sz val="9"/>
      <name val="Arial"/>
      <family val="2"/>
    </font>
    <font>
      <b/>
      <i/>
      <sz val="11"/>
      <color rgb="FF000000"/>
      <name val="Arial"/>
      <family val="2"/>
    </font>
    <font>
      <b/>
      <i/>
      <sz val="10"/>
      <color rgb="FF000000"/>
      <name val="Arial"/>
      <family val="2"/>
    </font>
    <font>
      <sz val="11"/>
      <color rgb="FF000000"/>
      <name val="Calibri"/>
      <family val="2"/>
    </font>
    <font>
      <i/>
      <sz val="8"/>
      <color theme="1"/>
      <name val="Calibri"/>
      <family val="2"/>
      <scheme val="minor"/>
    </font>
    <font>
      <i/>
      <sz val="9"/>
      <color theme="1"/>
      <name val="Calibri"/>
      <family val="2"/>
      <scheme val="minor"/>
    </font>
  </fonts>
  <fills count="14">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BFBFBF"/>
        <bgColor rgb="FF000000"/>
      </patternFill>
    </fill>
    <fill>
      <patternFill patternType="solid">
        <fgColor rgb="FFFCD5B4"/>
        <bgColor rgb="FF000000"/>
      </patternFill>
    </fill>
    <fill>
      <patternFill patternType="solid">
        <fgColor rgb="FFCCC0DA"/>
        <bgColor rgb="FF000000"/>
      </patternFill>
    </fill>
    <fill>
      <patternFill patternType="solid">
        <fgColor rgb="FFD8E4BC"/>
        <bgColor rgb="FF000000"/>
      </patternFill>
    </fill>
    <fill>
      <patternFill patternType="solid">
        <fgColor rgb="FFB7DEE8"/>
        <bgColor rgb="FF000000"/>
      </patternFill>
    </fill>
    <fill>
      <patternFill patternType="solid">
        <fgColor rgb="FFF8AB6C"/>
        <bgColor rgb="FF000000"/>
      </patternFill>
    </fill>
    <fill>
      <patternFill patternType="solid">
        <fgColor rgb="FFF79646"/>
        <bgColor rgb="FF000000"/>
      </patternFill>
    </fill>
    <fill>
      <patternFill patternType="solid">
        <fgColor rgb="FFD9D9D9"/>
        <bgColor rgb="FF000000"/>
      </patternFill>
    </fill>
    <fill>
      <patternFill patternType="solid">
        <fgColor rgb="FF9BBB59"/>
        <bgColor rgb="FF000000"/>
      </patternFill>
    </fill>
  </fills>
  <borders count="7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top/>
      <bottom style="thin">
        <color indexed="64"/>
      </bottom>
      <diagonal/>
    </border>
    <border>
      <left/>
      <right/>
      <top/>
      <bottom style="thick">
        <color indexed="64"/>
      </bottom>
      <diagonal/>
    </border>
    <border>
      <left/>
      <right/>
      <top style="thick">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right style="thin">
        <color indexed="64"/>
      </right>
      <top/>
      <bottom/>
      <diagonal/>
    </border>
  </borders>
  <cellStyleXfs count="2">
    <xf numFmtId="0" fontId="0" fillId="0" borderId="0"/>
    <xf numFmtId="0" fontId="21" fillId="0" borderId="0"/>
  </cellStyleXfs>
  <cellXfs count="458">
    <xf numFmtId="0" fontId="0" fillId="0" borderId="0" xfId="0"/>
    <xf numFmtId="0" fontId="2" fillId="0" borderId="0" xfId="0" applyFont="1"/>
    <xf numFmtId="0" fontId="2" fillId="0" borderId="0" xfId="0" applyFont="1" applyBorder="1"/>
    <xf numFmtId="0" fontId="1" fillId="0" borderId="0" xfId="0" applyFont="1"/>
    <xf numFmtId="0" fontId="4" fillId="0" borderId="1" xfId="0" applyFont="1" applyBorder="1" applyAlignment="1">
      <alignment horizontal="left" vertical="top"/>
    </xf>
    <xf numFmtId="0" fontId="2" fillId="0" borderId="1" xfId="0" applyFont="1" applyBorder="1"/>
    <xf numFmtId="0" fontId="8" fillId="0" borderId="0" xfId="0" applyFont="1"/>
    <xf numFmtId="0" fontId="9" fillId="0" borderId="0" xfId="0" applyFont="1"/>
    <xf numFmtId="0" fontId="5" fillId="0" borderId="1" xfId="0" applyFont="1" applyBorder="1" applyAlignment="1">
      <alignment horizontal="left" vertical="top" wrapText="1"/>
    </xf>
    <xf numFmtId="0" fontId="4" fillId="0" borderId="1" xfId="0" applyFont="1" applyBorder="1"/>
    <xf numFmtId="0" fontId="5" fillId="0" borderId="0" xfId="0" applyFont="1" applyFill="1" applyBorder="1"/>
    <xf numFmtId="0" fontId="6" fillId="0" borderId="0" xfId="0" applyFont="1" applyFill="1" applyBorder="1"/>
    <xf numFmtId="0" fontId="6" fillId="0" borderId="0" xfId="0" applyFont="1" applyFill="1" applyBorder="1" applyAlignment="1">
      <alignment horizontal="left" vertical="top"/>
    </xf>
    <xf numFmtId="0" fontId="14" fillId="0" borderId="0" xfId="0" applyFont="1"/>
    <xf numFmtId="0" fontId="4" fillId="0" borderId="0" xfId="0" applyFont="1"/>
    <xf numFmtId="0" fontId="2" fillId="0" borderId="0" xfId="0" applyFont="1" applyAlignment="1">
      <alignment vertical="center" textRotation="90" wrapText="1"/>
    </xf>
    <xf numFmtId="0" fontId="18" fillId="0" borderId="0" xfId="0" applyFont="1" applyBorder="1" applyAlignment="1">
      <alignment vertical="center" wrapText="1"/>
    </xf>
    <xf numFmtId="0" fontId="17" fillId="0" borderId="0" xfId="0" applyFont="1" applyAlignment="1" applyProtection="1">
      <alignment horizontal="center"/>
      <protection locked="0"/>
    </xf>
    <xf numFmtId="0" fontId="2" fillId="0" borderId="0" xfId="0" applyFont="1" applyAlignment="1" applyProtection="1">
      <alignment horizontal="center"/>
      <protection locked="0"/>
    </xf>
    <xf numFmtId="0" fontId="15" fillId="0" borderId="0" xfId="0" applyFont="1" applyAlignment="1" applyProtection="1">
      <alignment horizontal="center"/>
      <protection locked="0"/>
    </xf>
    <xf numFmtId="0" fontId="11" fillId="0" borderId="0" xfId="0" applyFont="1" applyAlignment="1" applyProtection="1">
      <alignment horizontal="center"/>
      <protection locked="0"/>
    </xf>
    <xf numFmtId="0" fontId="16" fillId="0" borderId="0" xfId="0" applyFont="1" applyAlignment="1" applyProtection="1">
      <alignment horizontal="center"/>
      <protection locked="0"/>
    </xf>
    <xf numFmtId="0" fontId="2" fillId="0" borderId="0" xfId="0" applyFont="1" applyProtection="1">
      <protection locked="0"/>
    </xf>
    <xf numFmtId="0" fontId="18" fillId="0" borderId="0" xfId="0" applyFont="1" applyBorder="1" applyAlignment="1">
      <alignment horizontal="center" vertical="center" wrapText="1"/>
    </xf>
    <xf numFmtId="0" fontId="18" fillId="0" borderId="0" xfId="0" applyFont="1" applyBorder="1" applyAlignment="1">
      <alignment horizontal="left" vertical="center" wrapText="1"/>
    </xf>
    <xf numFmtId="0" fontId="18" fillId="0" borderId="26" xfId="0" applyFont="1" applyBorder="1" applyAlignment="1">
      <alignment vertical="center" wrapText="1"/>
    </xf>
    <xf numFmtId="0" fontId="2" fillId="0" borderId="26" xfId="0" applyFont="1" applyBorder="1"/>
    <xf numFmtId="0" fontId="18" fillId="0" borderId="27" xfId="0" applyFont="1" applyBorder="1" applyAlignment="1">
      <alignment vertical="center" wrapText="1"/>
    </xf>
    <xf numFmtId="0" fontId="2" fillId="0" borderId="27" xfId="0" applyFont="1" applyBorder="1"/>
    <xf numFmtId="0" fontId="2" fillId="0" borderId="28" xfId="0" applyFont="1" applyBorder="1"/>
    <xf numFmtId="0" fontId="18" fillId="0" borderId="28" xfId="0" applyFont="1" applyBorder="1" applyAlignment="1">
      <alignment vertical="center" wrapText="1"/>
    </xf>
    <xf numFmtId="0" fontId="18" fillId="0" borderId="29" xfId="0" applyFont="1" applyBorder="1" applyAlignment="1">
      <alignment vertical="center" wrapText="1"/>
    </xf>
    <xf numFmtId="0" fontId="2" fillId="0" borderId="29" xfId="0" applyFont="1" applyBorder="1"/>
    <xf numFmtId="0" fontId="18" fillId="0" borderId="3" xfId="0" applyFont="1" applyBorder="1" applyAlignment="1">
      <alignment vertical="center" wrapText="1"/>
    </xf>
    <xf numFmtId="0" fontId="2" fillId="0" borderId="3" xfId="0" applyFont="1" applyBorder="1"/>
    <xf numFmtId="0" fontId="18" fillId="0" borderId="3" xfId="0" applyFont="1" applyBorder="1" applyAlignment="1">
      <alignment horizontal="center" vertical="center" wrapText="1"/>
    </xf>
    <xf numFmtId="0" fontId="20" fillId="0" borderId="0" xfId="0" applyFont="1" applyBorder="1" applyAlignment="1">
      <alignment horizontal="left" vertical="center" wrapText="1"/>
    </xf>
    <xf numFmtId="0" fontId="20" fillId="0" borderId="0" xfId="0" applyFont="1"/>
    <xf numFmtId="0" fontId="18" fillId="0" borderId="0" xfId="0" applyFont="1" applyBorder="1" applyAlignment="1">
      <alignment horizontal="center" vertical="top" wrapText="1"/>
    </xf>
    <xf numFmtId="0" fontId="20" fillId="0" borderId="0" xfId="0" applyFont="1" applyBorder="1" applyAlignment="1">
      <alignment horizontal="left" vertical="top" wrapText="1"/>
    </xf>
    <xf numFmtId="0" fontId="11" fillId="0" borderId="0" xfId="0" applyFont="1" applyFill="1" applyBorder="1"/>
    <xf numFmtId="0" fontId="22" fillId="6" borderId="34" xfId="0" applyFont="1" applyFill="1" applyBorder="1" applyAlignment="1">
      <alignment horizontal="center" vertical="center"/>
    </xf>
    <xf numFmtId="0" fontId="22" fillId="6" borderId="39" xfId="0" applyFont="1" applyFill="1" applyBorder="1" applyAlignment="1">
      <alignment horizontal="center" vertical="center"/>
    </xf>
    <xf numFmtId="0" fontId="22" fillId="6" borderId="42" xfId="0" applyFont="1" applyFill="1" applyBorder="1" applyAlignment="1">
      <alignment horizontal="center" vertical="center"/>
    </xf>
    <xf numFmtId="0" fontId="22" fillId="7" borderId="46" xfId="0" applyFont="1" applyFill="1" applyBorder="1" applyAlignment="1">
      <alignment horizontal="center" vertical="center"/>
    </xf>
    <xf numFmtId="0" fontId="22" fillId="8" borderId="34" xfId="0" applyFont="1" applyFill="1" applyBorder="1" applyAlignment="1">
      <alignment horizontal="center" vertical="center"/>
    </xf>
    <xf numFmtId="0" fontId="22" fillId="8" borderId="39" xfId="0" applyFont="1" applyFill="1" applyBorder="1" applyAlignment="1">
      <alignment horizontal="center" vertical="center"/>
    </xf>
    <xf numFmtId="0" fontId="22" fillId="8" borderId="42" xfId="0" applyFont="1" applyFill="1" applyBorder="1" applyAlignment="1">
      <alignment horizontal="center" vertical="center"/>
    </xf>
    <xf numFmtId="0" fontId="22" fillId="9" borderId="46" xfId="0" applyFont="1" applyFill="1" applyBorder="1" applyAlignment="1">
      <alignment horizontal="center" vertical="center"/>
    </xf>
    <xf numFmtId="0" fontId="11" fillId="0" borderId="0" xfId="0" applyFont="1" applyFill="1" applyBorder="1" applyAlignment="1">
      <alignment vertical="center"/>
    </xf>
    <xf numFmtId="0" fontId="22" fillId="8" borderId="52" xfId="0" applyFont="1" applyFill="1" applyBorder="1" applyAlignment="1">
      <alignment horizontal="center" vertical="center"/>
    </xf>
    <xf numFmtId="0" fontId="22" fillId="9" borderId="34" xfId="0" applyFont="1" applyFill="1" applyBorder="1" applyAlignment="1">
      <alignment horizontal="center" vertical="center"/>
    </xf>
    <xf numFmtId="0" fontId="22" fillId="9" borderId="42" xfId="0" applyFont="1" applyFill="1" applyBorder="1" applyAlignment="1">
      <alignment horizontal="center" vertical="center"/>
    </xf>
    <xf numFmtId="0" fontId="22" fillId="6" borderId="52" xfId="0" applyFont="1" applyFill="1" applyBorder="1" applyAlignment="1">
      <alignment horizontal="center" vertical="center"/>
    </xf>
    <xf numFmtId="0" fontId="22" fillId="7" borderId="57" xfId="0" applyFont="1" applyFill="1" applyBorder="1" applyAlignment="1">
      <alignment horizontal="center" vertical="center"/>
    </xf>
    <xf numFmtId="0" fontId="22" fillId="9" borderId="35" xfId="0" applyFont="1" applyFill="1" applyBorder="1" applyAlignment="1">
      <alignment horizontal="center" vertical="center"/>
    </xf>
    <xf numFmtId="0" fontId="22" fillId="9" borderId="40" xfId="0" applyFont="1" applyFill="1" applyBorder="1" applyAlignment="1">
      <alignment horizontal="center" vertical="center"/>
    </xf>
    <xf numFmtId="0" fontId="22" fillId="9" borderId="43" xfId="0" applyFont="1" applyFill="1" applyBorder="1" applyAlignment="1">
      <alignment horizontal="center" vertical="center"/>
    </xf>
    <xf numFmtId="0" fontId="22" fillId="0" borderId="0" xfId="0" applyFont="1" applyFill="1" applyBorder="1" applyAlignment="1">
      <alignment vertical="center" textRotation="90"/>
    </xf>
    <xf numFmtId="0" fontId="22" fillId="7" borderId="34" xfId="0" applyFont="1" applyFill="1" applyBorder="1" applyAlignment="1">
      <alignment horizontal="center" vertical="center"/>
    </xf>
    <xf numFmtId="0" fontId="22" fillId="7" borderId="39" xfId="0" applyFont="1" applyFill="1" applyBorder="1" applyAlignment="1">
      <alignment horizontal="center" vertical="center"/>
    </xf>
    <xf numFmtId="0" fontId="22" fillId="7" borderId="52" xfId="0" applyFont="1" applyFill="1" applyBorder="1" applyAlignment="1">
      <alignment horizontal="center" vertical="center"/>
    </xf>
    <xf numFmtId="0" fontId="25" fillId="0" borderId="13" xfId="0" applyFont="1" applyFill="1" applyBorder="1" applyAlignment="1" applyProtection="1">
      <protection locked="0"/>
    </xf>
    <xf numFmtId="0" fontId="25" fillId="0" borderId="14" xfId="0" applyFont="1" applyFill="1" applyBorder="1" applyAlignment="1" applyProtection="1">
      <protection locked="0"/>
    </xf>
    <xf numFmtId="0" fontId="25" fillId="0" borderId="15" xfId="0" applyFont="1" applyFill="1" applyBorder="1" applyAlignment="1" applyProtection="1">
      <protection locked="0"/>
    </xf>
    <xf numFmtId="0" fontId="25" fillId="0" borderId="17" xfId="0" applyFont="1" applyFill="1" applyBorder="1" applyAlignment="1" applyProtection="1">
      <protection locked="0"/>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25" fillId="0" borderId="49" xfId="0" applyFont="1" applyFill="1" applyBorder="1" applyAlignment="1" applyProtection="1">
      <alignment horizontal="center"/>
      <protection locked="0"/>
    </xf>
    <xf numFmtId="0" fontId="25" fillId="0" borderId="51" xfId="0" applyFont="1" applyFill="1" applyBorder="1" applyAlignment="1" applyProtection="1">
      <alignment horizontal="center"/>
      <protection locked="0"/>
    </xf>
    <xf numFmtId="0" fontId="25" fillId="0" borderId="58" xfId="0" applyFont="1" applyFill="1" applyBorder="1" applyAlignment="1" applyProtection="1">
      <alignment horizontal="center"/>
      <protection locked="0"/>
    </xf>
    <xf numFmtId="0" fontId="25" fillId="0" borderId="4" xfId="0" applyFont="1" applyFill="1" applyBorder="1" applyAlignment="1" applyProtection="1">
      <alignment horizontal="center"/>
      <protection locked="0"/>
    </xf>
    <xf numFmtId="0" fontId="25" fillId="0" borderId="59"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5" fillId="0" borderId="53" xfId="0" applyFont="1" applyFill="1" applyBorder="1" applyAlignment="1" applyProtection="1">
      <alignment horizontal="center"/>
      <protection locked="0"/>
    </xf>
    <xf numFmtId="0" fontId="25" fillId="0" borderId="53" xfId="0" applyFont="1" applyFill="1" applyBorder="1" applyAlignment="1" applyProtection="1">
      <protection locked="0"/>
    </xf>
    <xf numFmtId="0" fontId="25" fillId="0" borderId="54" xfId="0" applyFont="1" applyFill="1" applyBorder="1" applyAlignment="1" applyProtection="1">
      <protection locked="0"/>
    </xf>
    <xf numFmtId="0" fontId="22" fillId="10" borderId="39" xfId="0" applyFont="1" applyFill="1" applyBorder="1" applyAlignment="1">
      <alignment horizontal="center" vertical="center"/>
    </xf>
    <xf numFmtId="0" fontId="22" fillId="9" borderId="39" xfId="0" applyFont="1" applyFill="1" applyBorder="1" applyAlignment="1">
      <alignment horizontal="center" vertical="center"/>
    </xf>
    <xf numFmtId="0" fontId="22" fillId="5" borderId="57" xfId="0" applyFont="1" applyFill="1" applyBorder="1" applyAlignment="1">
      <alignment horizontal="center" vertical="center" textRotation="90"/>
    </xf>
    <xf numFmtId="0" fontId="22" fillId="6" borderId="57" xfId="0" applyFont="1" applyFill="1" applyBorder="1" applyAlignment="1">
      <alignment horizontal="center" vertical="center"/>
    </xf>
    <xf numFmtId="0" fontId="22" fillId="7" borderId="42" xfId="0" applyFont="1" applyFill="1" applyBorder="1" applyAlignment="1">
      <alignment horizontal="center" vertical="center"/>
    </xf>
    <xf numFmtId="0" fontId="28" fillId="0" borderId="0" xfId="0" applyFont="1"/>
    <xf numFmtId="0" fontId="28" fillId="0" borderId="30" xfId="0" applyFont="1" applyBorder="1"/>
    <xf numFmtId="0" fontId="28" fillId="0" borderId="31" xfId="0" applyFont="1" applyBorder="1"/>
    <xf numFmtId="0" fontId="28" fillId="0" borderId="64" xfId="0" applyFont="1" applyBorder="1" applyAlignment="1">
      <alignment horizontal="center"/>
    </xf>
    <xf numFmtId="0" fontId="28" fillId="0" borderId="32" xfId="0" applyFont="1" applyBorder="1" applyAlignment="1">
      <alignment horizontal="center"/>
    </xf>
    <xf numFmtId="0" fontId="30" fillId="0" borderId="0" xfId="0" applyFont="1"/>
    <xf numFmtId="0" fontId="0" fillId="0" borderId="0" xfId="0" quotePrefix="1"/>
    <xf numFmtId="0" fontId="29" fillId="0" borderId="1" xfId="0" applyFont="1" applyBorder="1" applyAlignment="1">
      <alignment horizontal="left"/>
    </xf>
    <xf numFmtId="0" fontId="29" fillId="0" borderId="4" xfId="0" applyFont="1" applyBorder="1"/>
    <xf numFmtId="0" fontId="29" fillId="0" borderId="58" xfId="0" applyFont="1" applyBorder="1" applyAlignment="1"/>
    <xf numFmtId="0" fontId="29" fillId="0" borderId="62" xfId="0" applyFont="1" applyBorder="1" applyAlignment="1"/>
    <xf numFmtId="0" fontId="5" fillId="0" borderId="66" xfId="0" applyFont="1" applyBorder="1" applyProtection="1"/>
    <xf numFmtId="0" fontId="5" fillId="0" borderId="40" xfId="0" applyFont="1" applyBorder="1" applyProtection="1"/>
    <xf numFmtId="0" fontId="5" fillId="0" borderId="43" xfId="0" applyFont="1" applyBorder="1" applyProtection="1"/>
    <xf numFmtId="0" fontId="2" fillId="0" borderId="0" xfId="0" applyFont="1" applyProtection="1"/>
    <xf numFmtId="0" fontId="4" fillId="0" borderId="8" xfId="0" applyFont="1" applyBorder="1" applyProtection="1"/>
    <xf numFmtId="0" fontId="4" fillId="0" borderId="13" xfId="0" applyFont="1" applyBorder="1" applyProtection="1"/>
    <xf numFmtId="0" fontId="4" fillId="0" borderId="15" xfId="0" applyFont="1" applyBorder="1" applyAlignment="1" applyProtection="1">
      <alignment horizontal="left" vertical="top" wrapText="1"/>
    </xf>
    <xf numFmtId="0" fontId="7" fillId="2" borderId="1" xfId="0" applyFont="1" applyFill="1" applyBorder="1" applyAlignment="1" applyProtection="1">
      <alignment horizontal="center" vertical="top"/>
    </xf>
    <xf numFmtId="0" fontId="2" fillId="0" borderId="1" xfId="0" applyFont="1" applyBorder="1" applyAlignment="1" applyProtection="1">
      <alignment horizontal="center" vertical="top"/>
    </xf>
    <xf numFmtId="0" fontId="4" fillId="0" borderId="1" xfId="0" applyFont="1" applyBorder="1" applyAlignment="1" applyProtection="1">
      <alignment vertical="top" wrapText="1"/>
    </xf>
    <xf numFmtId="0" fontId="25" fillId="0" borderId="21" xfId="0" applyFont="1" applyFill="1" applyBorder="1" applyAlignment="1" applyProtection="1">
      <alignment horizontal="center"/>
      <protection locked="0"/>
    </xf>
    <xf numFmtId="0" fontId="25" fillId="0" borderId="22" xfId="0" applyFont="1" applyFill="1" applyBorder="1" applyAlignment="1" applyProtection="1">
      <alignment horizontal="center"/>
      <protection locked="0"/>
    </xf>
    <xf numFmtId="0" fontId="29" fillId="0" borderId="9" xfId="0" applyFont="1" applyBorder="1" applyAlignment="1" applyProtection="1">
      <alignment horizontal="center"/>
      <protection locked="0"/>
    </xf>
    <xf numFmtId="0" fontId="29" fillId="0" borderId="10" xfId="0" applyFont="1" applyBorder="1" applyAlignment="1" applyProtection="1">
      <alignment horizontal="center"/>
      <protection locked="0"/>
    </xf>
    <xf numFmtId="0" fontId="29" fillId="0" borderId="17" xfId="0" applyFont="1" applyBorder="1" applyAlignment="1" applyProtection="1">
      <alignment horizontal="center"/>
      <protection locked="0"/>
    </xf>
    <xf numFmtId="0" fontId="29" fillId="0" borderId="16" xfId="0" applyFont="1" applyBorder="1" applyAlignment="1" applyProtection="1">
      <alignment horizontal="center"/>
      <protection locked="0"/>
    </xf>
    <xf numFmtId="0" fontId="29" fillId="0" borderId="10" xfId="0" applyFont="1" applyBorder="1" applyProtection="1">
      <protection locked="0"/>
    </xf>
    <xf numFmtId="0" fontId="29" fillId="0" borderId="14" xfId="0" applyFont="1" applyBorder="1" applyProtection="1">
      <protection locked="0"/>
    </xf>
    <xf numFmtId="0" fontId="29" fillId="0" borderId="17" xfId="0" applyFont="1" applyBorder="1" applyProtection="1">
      <protection locked="0"/>
    </xf>
    <xf numFmtId="0" fontId="20" fillId="0" borderId="0" xfId="0" applyFont="1" applyBorder="1" applyAlignment="1">
      <alignment horizontal="left" vertical="center" wrapText="1"/>
    </xf>
    <xf numFmtId="0" fontId="36" fillId="0" borderId="3" xfId="0" applyFont="1" applyBorder="1" applyAlignment="1">
      <alignment horizontal="left" vertical="center" wrapText="1"/>
    </xf>
    <xf numFmtId="0" fontId="20" fillId="0" borderId="3" xfId="0" applyFont="1" applyBorder="1" applyAlignment="1">
      <alignment vertical="center" wrapText="1"/>
    </xf>
    <xf numFmtId="0" fontId="20" fillId="0" borderId="0" xfId="0" applyFont="1" applyBorder="1" applyAlignment="1">
      <alignment vertical="center" wrapText="1"/>
    </xf>
    <xf numFmtId="0" fontId="20" fillId="0" borderId="28" xfId="0" applyFont="1" applyBorder="1" applyAlignment="1">
      <alignment vertical="center" wrapText="1"/>
    </xf>
    <xf numFmtId="0" fontId="6" fillId="3" borderId="9" xfId="0" applyFont="1" applyFill="1" applyBorder="1" applyAlignment="1" applyProtection="1">
      <alignment vertical="top" wrapText="1"/>
      <protection locked="0"/>
    </xf>
    <xf numFmtId="0" fontId="6" fillId="3" borderId="9" xfId="0" applyFont="1" applyFill="1" applyBorder="1" applyAlignment="1" applyProtection="1">
      <alignment horizontal="left" vertical="top" wrapText="1"/>
      <protection locked="0"/>
    </xf>
    <xf numFmtId="0" fontId="6" fillId="3" borderId="10" xfId="0" applyFont="1" applyFill="1" applyBorder="1" applyAlignment="1" applyProtection="1">
      <alignment horizontal="left" vertical="top" wrapText="1"/>
      <protection locked="0"/>
    </xf>
    <xf numFmtId="0" fontId="5" fillId="0" borderId="0" xfId="0" applyFont="1" applyFill="1" applyBorder="1" applyProtection="1"/>
    <xf numFmtId="0" fontId="6" fillId="0" borderId="0" xfId="0" applyFont="1" applyFill="1" applyBorder="1" applyProtection="1"/>
    <xf numFmtId="0" fontId="6" fillId="0" borderId="0" xfId="0" applyFont="1" applyFill="1" applyBorder="1" applyAlignment="1" applyProtection="1">
      <alignment horizontal="left" vertical="top"/>
    </xf>
    <xf numFmtId="0" fontId="5" fillId="3" borderId="8" xfId="0" applyFont="1" applyFill="1" applyBorder="1" applyAlignment="1" applyProtection="1">
      <alignment vertical="top" wrapText="1"/>
    </xf>
    <xf numFmtId="0" fontId="5" fillId="3" borderId="9" xfId="0" applyFont="1" applyFill="1" applyBorder="1" applyAlignment="1" applyProtection="1">
      <alignment vertical="top" wrapText="1"/>
    </xf>
    <xf numFmtId="0" fontId="2" fillId="0" borderId="11" xfId="0" applyFont="1" applyBorder="1" applyProtection="1"/>
    <xf numFmtId="0" fontId="2" fillId="0" borderId="0" xfId="0" applyFont="1" applyBorder="1" applyProtection="1"/>
    <xf numFmtId="0" fontId="2" fillId="0" borderId="12" xfId="0" applyFont="1" applyBorder="1" applyProtection="1"/>
    <xf numFmtId="0" fontId="3" fillId="2" borderId="13" xfId="0" applyFont="1" applyFill="1" applyBorder="1" applyProtection="1"/>
    <xf numFmtId="0" fontId="3" fillId="2" borderId="1" xfId="0" applyFont="1" applyFill="1" applyBorder="1" applyAlignment="1" applyProtection="1">
      <alignment vertical="top"/>
    </xf>
    <xf numFmtId="0" fontId="3" fillId="2" borderId="1" xfId="0" applyFont="1" applyFill="1" applyBorder="1" applyAlignment="1" applyProtection="1">
      <alignment horizontal="center" vertical="top"/>
    </xf>
    <xf numFmtId="0" fontId="3" fillId="2" borderId="13" xfId="0" applyFont="1" applyFill="1" applyBorder="1" applyAlignment="1" applyProtection="1">
      <alignment vertical="top"/>
    </xf>
    <xf numFmtId="0" fontId="2" fillId="0" borderId="23" xfId="0" applyFont="1" applyBorder="1" applyProtection="1"/>
    <xf numFmtId="0" fontId="2" fillId="0" borderId="24" xfId="0" applyFont="1" applyBorder="1" applyProtection="1"/>
    <xf numFmtId="0" fontId="2" fillId="0" borderId="25" xfId="0" applyFont="1" applyBorder="1" applyProtection="1"/>
    <xf numFmtId="0" fontId="2" fillId="0" borderId="13" xfId="0" applyFont="1" applyBorder="1" applyProtection="1">
      <protection locked="0"/>
    </xf>
    <xf numFmtId="0" fontId="2" fillId="0" borderId="13" xfId="0" applyFont="1" applyBorder="1" applyAlignment="1" applyProtection="1">
      <alignment vertical="top"/>
      <protection locked="0"/>
    </xf>
    <xf numFmtId="0" fontId="2" fillId="0" borderId="1" xfId="0" applyFont="1" applyBorder="1" applyAlignment="1" applyProtection="1">
      <alignment vertical="top"/>
      <protection locked="0"/>
    </xf>
    <xf numFmtId="0" fontId="2" fillId="0" borderId="1" xfId="0" applyFont="1" applyBorder="1" applyAlignment="1" applyProtection="1">
      <alignment horizontal="center" vertical="top" wrapText="1"/>
      <protection locked="0"/>
    </xf>
    <xf numFmtId="0" fontId="6" fillId="0" borderId="13" xfId="0" applyFont="1" applyBorder="1" applyProtection="1">
      <protection locked="0"/>
    </xf>
    <xf numFmtId="0" fontId="6" fillId="0" borderId="13" xfId="0" applyFont="1" applyBorder="1" applyAlignment="1" applyProtection="1">
      <alignment vertical="top"/>
      <protection locked="0"/>
    </xf>
    <xf numFmtId="0" fontId="5" fillId="0" borderId="8" xfId="0" applyFont="1" applyBorder="1" applyProtection="1"/>
    <xf numFmtId="0" fontId="5" fillId="0" borderId="13" xfId="0" applyFont="1" applyBorder="1" applyProtection="1"/>
    <xf numFmtId="0" fontId="5" fillId="0" borderId="53" xfId="0" applyFont="1" applyBorder="1" applyProtection="1"/>
    <xf numFmtId="0" fontId="5" fillId="0" borderId="15" xfId="0" applyFont="1" applyBorder="1" applyProtection="1"/>
    <xf numFmtId="0" fontId="4" fillId="0" borderId="15" xfId="0" applyFont="1" applyBorder="1" applyProtection="1"/>
    <xf numFmtId="0" fontId="4" fillId="0" borderId="0" xfId="0" applyFont="1" applyBorder="1" applyProtection="1"/>
    <xf numFmtId="0" fontId="2" fillId="0" borderId="0" xfId="0" applyFont="1" applyBorder="1" applyAlignment="1" applyProtection="1">
      <alignment horizontal="left"/>
    </xf>
    <xf numFmtId="0" fontId="4" fillId="0" borderId="6" xfId="0" applyFont="1" applyBorder="1" applyAlignment="1" applyProtection="1"/>
    <xf numFmtId="0" fontId="4" fillId="0" borderId="6" xfId="0" applyFont="1" applyBorder="1" applyAlignment="1" applyProtection="1">
      <alignment horizontal="left"/>
    </xf>
    <xf numFmtId="0" fontId="4" fillId="0" borderId="1" xfId="0" applyFont="1" applyBorder="1" applyProtection="1"/>
    <xf numFmtId="0" fontId="4" fillId="0" borderId="1" xfId="0" applyFont="1" applyBorder="1" applyAlignment="1" applyProtection="1">
      <alignment horizontal="left"/>
    </xf>
    <xf numFmtId="0" fontId="4" fillId="0" borderId="1" xfId="0" applyFont="1" applyBorder="1" applyAlignment="1" applyProtection="1"/>
    <xf numFmtId="0" fontId="4" fillId="0" borderId="16" xfId="0" applyFont="1" applyBorder="1" applyProtection="1"/>
    <xf numFmtId="0" fontId="4" fillId="0" borderId="16" xfId="0" applyFont="1" applyBorder="1" applyAlignment="1" applyProtection="1">
      <alignment horizontal="left"/>
    </xf>
    <xf numFmtId="0" fontId="32" fillId="0" borderId="6" xfId="0" applyFont="1" applyFill="1" applyBorder="1" applyAlignment="1" applyProtection="1">
      <alignment horizontal="center"/>
    </xf>
    <xf numFmtId="0" fontId="32" fillId="0" borderId="1" xfId="0" applyFont="1" applyFill="1" applyBorder="1" applyAlignment="1" applyProtection="1">
      <alignment horizontal="center"/>
    </xf>
    <xf numFmtId="0" fontId="32" fillId="0" borderId="4" xfId="0" applyFont="1" applyFill="1" applyBorder="1" applyAlignment="1" applyProtection="1">
      <alignment horizontal="center"/>
    </xf>
    <xf numFmtId="0" fontId="33" fillId="0" borderId="6" xfId="0" applyFont="1" applyFill="1" applyBorder="1" applyAlignment="1" applyProtection="1">
      <alignment horizontal="center"/>
    </xf>
    <xf numFmtId="0" fontId="2" fillId="0" borderId="2" xfId="0" applyFont="1" applyFill="1" applyBorder="1" applyProtection="1"/>
    <xf numFmtId="0" fontId="11" fillId="0" borderId="4" xfId="0" applyFont="1" applyFill="1" applyBorder="1" applyProtection="1"/>
    <xf numFmtId="0" fontId="2" fillId="0" borderId="6" xfId="0" applyFont="1" applyBorder="1" applyProtection="1">
      <protection locked="0"/>
    </xf>
    <xf numFmtId="0" fontId="2" fillId="0" borderId="6" xfId="0" applyFont="1" applyBorder="1" applyAlignment="1" applyProtection="1">
      <alignment horizontal="right"/>
      <protection locked="0"/>
    </xf>
    <xf numFmtId="0" fontId="2" fillId="0" borderId="1" xfId="0" applyFont="1" applyBorder="1" applyProtection="1">
      <protection locked="0"/>
    </xf>
    <xf numFmtId="0" fontId="2" fillId="0" borderId="1" xfId="0" applyFont="1" applyBorder="1" applyAlignment="1" applyProtection="1">
      <alignment horizontal="right"/>
      <protection locked="0"/>
    </xf>
    <xf numFmtId="0" fontId="2" fillId="0" borderId="16" xfId="0" applyFont="1" applyBorder="1" applyProtection="1">
      <protection locked="0"/>
    </xf>
    <xf numFmtId="0" fontId="2" fillId="0" borderId="16" xfId="0" applyFont="1" applyBorder="1" applyAlignment="1" applyProtection="1">
      <alignment horizontal="right"/>
      <protection locked="0"/>
    </xf>
    <xf numFmtId="0" fontId="2" fillId="11" borderId="1" xfId="0" applyFont="1" applyFill="1" applyBorder="1" applyAlignment="1" applyProtection="1">
      <alignment horizontal="center"/>
      <protection locked="0"/>
    </xf>
    <xf numFmtId="0" fontId="2" fillId="0" borderId="1"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2" fillId="13" borderId="1" xfId="0" applyFont="1" applyFill="1" applyBorder="1" applyAlignment="1" applyProtection="1">
      <alignment horizontal="center"/>
      <protection locked="0"/>
    </xf>
    <xf numFmtId="14" fontId="2" fillId="0" borderId="1" xfId="0" applyNumberFormat="1" applyFont="1" applyBorder="1" applyAlignment="1" applyProtection="1">
      <alignment vertical="top" wrapText="1"/>
    </xf>
    <xf numFmtId="0" fontId="4" fillId="0" borderId="16" xfId="0" applyFont="1" applyBorder="1" applyAlignment="1" applyProtection="1">
      <alignment horizontal="center"/>
    </xf>
    <xf numFmtId="14" fontId="2" fillId="0" borderId="9" xfId="0" applyNumberFormat="1" applyFont="1" applyBorder="1" applyAlignment="1" applyProtection="1">
      <alignment horizontal="left"/>
      <protection locked="0"/>
    </xf>
    <xf numFmtId="14" fontId="2" fillId="0" borderId="10" xfId="0" applyNumberFormat="1" applyFont="1" applyBorder="1" applyAlignment="1" applyProtection="1">
      <alignment horizontal="left"/>
      <protection locked="0"/>
    </xf>
    <xf numFmtId="14" fontId="2" fillId="0" borderId="1" xfId="0" applyNumberFormat="1" applyFont="1" applyBorder="1" applyAlignment="1" applyProtection="1">
      <alignment horizontal="left"/>
      <protection locked="0"/>
    </xf>
    <xf numFmtId="14" fontId="2" fillId="0" borderId="14" xfId="0" applyNumberFormat="1" applyFont="1" applyBorder="1" applyAlignment="1" applyProtection="1">
      <alignment horizontal="left"/>
      <protection locked="0"/>
    </xf>
    <xf numFmtId="14" fontId="2" fillId="0" borderId="16" xfId="0" applyNumberFormat="1" applyFont="1" applyBorder="1" applyAlignment="1" applyProtection="1">
      <alignment horizontal="left"/>
      <protection locked="0"/>
    </xf>
    <xf numFmtId="14" fontId="2" fillId="0" borderId="17" xfId="0" applyNumberFormat="1" applyFont="1" applyBorder="1" applyAlignment="1" applyProtection="1">
      <alignment horizontal="left"/>
      <protection locked="0"/>
    </xf>
    <xf numFmtId="0" fontId="4" fillId="0" borderId="1" xfId="0" applyFont="1" applyBorder="1" applyAlignment="1" applyProtection="1">
      <alignment horizontal="center"/>
    </xf>
    <xf numFmtId="0" fontId="4" fillId="0" borderId="9" xfId="0" applyFont="1" applyBorder="1" applyAlignment="1" applyProtection="1">
      <alignment horizontal="center"/>
    </xf>
    <xf numFmtId="0" fontId="2" fillId="0" borderId="9" xfId="0" applyFont="1" applyBorder="1" applyAlignment="1" applyProtection="1">
      <alignment horizontal="left" vertical="top"/>
      <protection locked="0"/>
    </xf>
    <xf numFmtId="0" fontId="2" fillId="0" borderId="1" xfId="0" applyFont="1" applyBorder="1" applyAlignment="1" applyProtection="1">
      <alignment horizontal="left" vertical="top"/>
      <protection locked="0"/>
    </xf>
    <xf numFmtId="0" fontId="4" fillId="0" borderId="13" xfId="0" applyFont="1" applyBorder="1" applyAlignment="1" applyProtection="1">
      <alignment horizontal="left" vertical="top"/>
    </xf>
    <xf numFmtId="0" fontId="4" fillId="0" borderId="1" xfId="0" applyFont="1" applyBorder="1" applyAlignment="1" applyProtection="1">
      <alignment horizontal="left" vertical="top"/>
    </xf>
    <xf numFmtId="0" fontId="4" fillId="0" borderId="15" xfId="0" applyFont="1" applyBorder="1" applyAlignment="1" applyProtection="1">
      <alignment horizontal="left" vertical="top"/>
    </xf>
    <xf numFmtId="0" fontId="4" fillId="0" borderId="16" xfId="0" applyFont="1" applyBorder="1" applyAlignment="1" applyProtection="1">
      <alignment horizontal="left" vertical="top"/>
    </xf>
    <xf numFmtId="0" fontId="2" fillId="3" borderId="1" xfId="0" applyFont="1" applyFill="1" applyBorder="1" applyAlignment="1" applyProtection="1">
      <alignment horizontal="left" vertical="top"/>
    </xf>
    <xf numFmtId="0" fontId="2" fillId="3" borderId="14" xfId="0" applyFont="1" applyFill="1" applyBorder="1" applyAlignment="1" applyProtection="1">
      <alignment horizontal="left" vertical="top"/>
    </xf>
    <xf numFmtId="0" fontId="2" fillId="3" borderId="16" xfId="0" applyFont="1" applyFill="1" applyBorder="1" applyAlignment="1" applyProtection="1">
      <alignment horizontal="left" vertical="top"/>
    </xf>
    <xf numFmtId="0" fontId="2" fillId="3" borderId="17" xfId="0" applyFont="1" applyFill="1" applyBorder="1" applyAlignment="1" applyProtection="1">
      <alignment horizontal="left" vertical="top"/>
    </xf>
    <xf numFmtId="0" fontId="5" fillId="4" borderId="18" xfId="0" applyFont="1" applyFill="1" applyBorder="1" applyAlignment="1" applyProtection="1">
      <alignment horizontal="left" vertical="top"/>
    </xf>
    <xf numFmtId="0" fontId="5" fillId="4" borderId="19" xfId="0" applyFont="1" applyFill="1" applyBorder="1" applyAlignment="1" applyProtection="1">
      <alignment horizontal="left" vertical="top"/>
    </xf>
    <xf numFmtId="0" fontId="5" fillId="4" borderId="20" xfId="0" applyFont="1" applyFill="1" applyBorder="1" applyAlignment="1" applyProtection="1">
      <alignment horizontal="left" vertical="top"/>
    </xf>
    <xf numFmtId="0" fontId="5" fillId="4" borderId="30" xfId="0" applyFont="1" applyFill="1" applyBorder="1" applyAlignment="1" applyProtection="1">
      <alignment horizontal="left" vertical="top"/>
    </xf>
    <xf numFmtId="0" fontId="5" fillId="4" borderId="31" xfId="0" applyFont="1" applyFill="1" applyBorder="1" applyAlignment="1" applyProtection="1">
      <alignment horizontal="left" vertical="top"/>
    </xf>
    <xf numFmtId="0" fontId="5" fillId="4" borderId="32" xfId="0" applyFont="1" applyFill="1" applyBorder="1" applyAlignment="1" applyProtection="1">
      <alignment horizontal="left" vertical="top"/>
    </xf>
    <xf numFmtId="0" fontId="2" fillId="0" borderId="10" xfId="0" applyFont="1" applyBorder="1" applyAlignment="1" applyProtection="1">
      <alignment horizontal="left" vertical="top"/>
      <protection locked="0"/>
    </xf>
    <xf numFmtId="0" fontId="2" fillId="0" borderId="14" xfId="0" applyFont="1" applyBorder="1" applyAlignment="1" applyProtection="1">
      <alignment horizontal="left" vertical="top"/>
      <protection locked="0"/>
    </xf>
    <xf numFmtId="14" fontId="2" fillId="0" borderId="1" xfId="0" applyNumberFormat="1" applyFont="1" applyBorder="1" applyAlignment="1" applyProtection="1">
      <alignment horizontal="left" vertical="top"/>
      <protection locked="0"/>
    </xf>
    <xf numFmtId="14" fontId="2" fillId="0" borderId="14" xfId="0" applyNumberFormat="1" applyFont="1" applyBorder="1" applyAlignment="1" applyProtection="1">
      <alignment horizontal="left" vertical="top"/>
      <protection locked="0"/>
    </xf>
    <xf numFmtId="0" fontId="4" fillId="0" borderId="1" xfId="0" applyFont="1" applyBorder="1" applyAlignment="1" applyProtection="1">
      <alignment horizontal="left"/>
    </xf>
    <xf numFmtId="0" fontId="4" fillId="0" borderId="8" xfId="0" applyFont="1" applyBorder="1" applyAlignment="1" applyProtection="1">
      <alignment horizontal="left"/>
    </xf>
    <xf numFmtId="0" fontId="4" fillId="0" borderId="9" xfId="0" applyFont="1" applyBorder="1" applyAlignment="1" applyProtection="1">
      <alignment horizontal="left"/>
    </xf>
    <xf numFmtId="0" fontId="2" fillId="0" borderId="9"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0" borderId="1" xfId="0" applyFont="1" applyBorder="1" applyAlignment="1" applyProtection="1">
      <alignment horizontal="left"/>
      <protection locked="0"/>
    </xf>
    <xf numFmtId="0" fontId="2" fillId="0" borderId="14" xfId="0" applyFont="1" applyBorder="1" applyAlignment="1" applyProtection="1">
      <alignment horizontal="left"/>
      <protection locked="0"/>
    </xf>
    <xf numFmtId="0" fontId="4" fillId="0" borderId="55" xfId="0" applyFont="1" applyBorder="1" applyAlignment="1" applyProtection="1">
      <alignment horizontal="left" vertical="top"/>
    </xf>
    <xf numFmtId="0" fontId="4" fillId="0" borderId="59" xfId="0" applyFont="1" applyBorder="1" applyAlignment="1" applyProtection="1">
      <alignment horizontal="left" vertical="top"/>
    </xf>
    <xf numFmtId="0" fontId="4" fillId="0" borderId="11" xfId="0" applyFont="1" applyBorder="1" applyAlignment="1" applyProtection="1">
      <alignment horizontal="left" vertical="top"/>
    </xf>
    <xf numFmtId="0" fontId="4" fillId="0" borderId="69" xfId="0" applyFont="1" applyBorder="1" applyAlignment="1" applyProtection="1">
      <alignment horizontal="left" vertical="top"/>
    </xf>
    <xf numFmtId="0" fontId="4" fillId="0" borderId="66" xfId="0" applyFont="1" applyBorder="1" applyAlignment="1" applyProtection="1">
      <alignment horizontal="left" vertical="top"/>
    </xf>
    <xf numFmtId="0" fontId="4" fillId="0" borderId="60" xfId="0" applyFont="1" applyBorder="1" applyAlignment="1" applyProtection="1">
      <alignment horizontal="left" vertical="top"/>
    </xf>
    <xf numFmtId="2" fontId="2" fillId="0" borderId="1" xfId="0" applyNumberFormat="1" applyFont="1" applyBorder="1" applyAlignment="1" applyProtection="1">
      <alignment horizontal="left" vertical="top"/>
      <protection locked="0"/>
    </xf>
    <xf numFmtId="2" fontId="2" fillId="0" borderId="14" xfId="0" applyNumberFormat="1" applyFont="1" applyBorder="1" applyAlignment="1" applyProtection="1">
      <alignment horizontal="left" vertical="top"/>
      <protection locked="0"/>
    </xf>
    <xf numFmtId="2" fontId="2" fillId="0" borderId="16" xfId="0" applyNumberFormat="1" applyFont="1" applyBorder="1" applyAlignment="1" applyProtection="1">
      <alignment horizontal="left" vertical="top"/>
      <protection locked="0"/>
    </xf>
    <xf numFmtId="2" fontId="2" fillId="0" borderId="17" xfId="0" applyNumberFormat="1" applyFont="1" applyBorder="1" applyAlignment="1" applyProtection="1">
      <alignment horizontal="left" vertical="top"/>
      <protection locked="0"/>
    </xf>
    <xf numFmtId="0" fontId="2" fillId="0" borderId="16" xfId="0" applyFont="1" applyBorder="1" applyAlignment="1" applyProtection="1">
      <alignment horizontal="left"/>
      <protection locked="0"/>
    </xf>
    <xf numFmtId="0" fontId="2" fillId="0" borderId="17" xfId="0" applyFont="1" applyBorder="1" applyAlignment="1" applyProtection="1">
      <alignment horizontal="left"/>
      <protection locked="0"/>
    </xf>
    <xf numFmtId="0" fontId="4" fillId="0" borderId="8" xfId="0" applyFont="1" applyBorder="1" applyAlignment="1" applyProtection="1">
      <alignment horizontal="left" vertical="top" wrapText="1"/>
    </xf>
    <xf numFmtId="0" fontId="4" fillId="0" borderId="13" xfId="0" applyFont="1" applyBorder="1" applyAlignment="1" applyProtection="1">
      <alignment horizontal="left" vertical="top" wrapText="1"/>
    </xf>
    <xf numFmtId="0" fontId="4" fillId="0" borderId="15" xfId="0" applyFont="1" applyBorder="1" applyAlignment="1" applyProtection="1">
      <alignment horizontal="left" vertical="top" wrapText="1"/>
    </xf>
    <xf numFmtId="0" fontId="2" fillId="0" borderId="16" xfId="0" applyFont="1" applyBorder="1" applyAlignment="1" applyProtection="1">
      <alignment horizontal="left" vertical="top" wrapText="1"/>
      <protection locked="0"/>
    </xf>
    <xf numFmtId="0" fontId="2" fillId="0" borderId="17" xfId="0" applyFont="1" applyBorder="1" applyAlignment="1" applyProtection="1">
      <alignment horizontal="left" vertical="top" wrapText="1"/>
      <protection locked="0"/>
    </xf>
    <xf numFmtId="0" fontId="2" fillId="0" borderId="16" xfId="0" applyFont="1" applyBorder="1" applyAlignment="1" applyProtection="1">
      <alignment horizontal="left" vertical="top"/>
      <protection locked="0"/>
    </xf>
    <xf numFmtId="0" fontId="2" fillId="0" borderId="68" xfId="0" applyFont="1" applyBorder="1" applyAlignment="1" applyProtection="1">
      <alignment horizontal="left" vertical="top"/>
      <protection locked="0"/>
    </xf>
    <xf numFmtId="0" fontId="2" fillId="0" borderId="31" xfId="0" applyFont="1" applyBorder="1" applyAlignment="1" applyProtection="1">
      <alignment horizontal="left" vertical="top"/>
      <protection locked="0"/>
    </xf>
    <xf numFmtId="0" fontId="2" fillId="0" borderId="32" xfId="0" applyFont="1" applyBorder="1" applyAlignment="1" applyProtection="1">
      <alignment horizontal="left" vertical="top"/>
      <protection locked="0"/>
    </xf>
    <xf numFmtId="0" fontId="4" fillId="0" borderId="1" xfId="0" applyFont="1" applyFill="1" applyBorder="1" applyAlignment="1" applyProtection="1">
      <alignment horizontal="left" vertical="top"/>
    </xf>
    <xf numFmtId="0" fontId="2" fillId="0" borderId="9" xfId="0" applyFont="1" applyBorder="1" applyAlignment="1" applyProtection="1">
      <alignment horizontal="left" vertical="top"/>
    </xf>
    <xf numFmtId="0" fontId="2" fillId="0" borderId="10" xfId="0" applyFont="1" applyBorder="1" applyAlignment="1" applyProtection="1">
      <alignment horizontal="left" vertical="top"/>
    </xf>
    <xf numFmtId="0" fontId="2" fillId="0" borderId="6" xfId="0" applyFont="1" applyBorder="1" applyAlignment="1" applyProtection="1">
      <alignment horizontal="left" vertical="top"/>
    </xf>
    <xf numFmtId="0" fontId="2" fillId="0" borderId="22" xfId="0" applyFont="1" applyBorder="1" applyAlignment="1" applyProtection="1">
      <alignment horizontal="left" vertical="top"/>
    </xf>
    <xf numFmtId="164" fontId="2" fillId="0" borderId="6" xfId="0" applyNumberFormat="1" applyFont="1" applyBorder="1" applyAlignment="1" applyProtection="1">
      <alignment horizontal="left" vertical="top"/>
    </xf>
    <xf numFmtId="164" fontId="2" fillId="0" borderId="22" xfId="0" applyNumberFormat="1" applyFont="1" applyBorder="1" applyAlignment="1" applyProtection="1">
      <alignment horizontal="left" vertical="top"/>
    </xf>
    <xf numFmtId="0" fontId="2" fillId="0" borderId="65" xfId="0" applyFont="1" applyBorder="1" applyAlignment="1" applyProtection="1">
      <alignment horizontal="left" vertical="top"/>
    </xf>
    <xf numFmtId="0" fontId="2" fillId="0" borderId="67" xfId="0" applyFont="1" applyBorder="1" applyAlignment="1" applyProtection="1">
      <alignment horizontal="left" vertical="top"/>
    </xf>
    <xf numFmtId="0" fontId="2" fillId="0" borderId="1" xfId="0" applyFont="1" applyBorder="1" applyAlignment="1" applyProtection="1">
      <alignment horizontal="left" vertical="top"/>
    </xf>
    <xf numFmtId="0" fontId="2" fillId="0" borderId="14" xfId="0" applyFont="1" applyBorder="1" applyAlignment="1" applyProtection="1">
      <alignment horizontal="left" vertical="top"/>
    </xf>
    <xf numFmtId="1" fontId="2" fillId="0" borderId="1" xfId="0" applyNumberFormat="1" applyFont="1" applyBorder="1" applyAlignment="1" applyProtection="1">
      <alignment horizontal="left" vertical="top"/>
    </xf>
    <xf numFmtId="1" fontId="2" fillId="0" borderId="14" xfId="0" applyNumberFormat="1" applyFont="1" applyBorder="1" applyAlignment="1" applyProtection="1">
      <alignment horizontal="left" vertical="top"/>
    </xf>
    <xf numFmtId="0" fontId="2" fillId="0" borderId="16" xfId="0" applyFont="1" applyBorder="1" applyAlignment="1" applyProtection="1">
      <alignment horizontal="left" vertical="top"/>
    </xf>
    <xf numFmtId="0" fontId="2" fillId="0" borderId="17" xfId="0" applyFont="1" applyBorder="1" applyAlignment="1" applyProtection="1">
      <alignment horizontal="left" vertical="top"/>
    </xf>
    <xf numFmtId="0" fontId="5" fillId="0" borderId="0" xfId="0" applyFont="1" applyFill="1" applyBorder="1" applyAlignment="1" applyProtection="1">
      <alignment horizontal="center"/>
    </xf>
    <xf numFmtId="0" fontId="9" fillId="0" borderId="0" xfId="0" applyFont="1" applyAlignment="1">
      <alignment horizontal="justify" vertical="top" wrapText="1"/>
    </xf>
    <xf numFmtId="0" fontId="7" fillId="2" borderId="2" xfId="0" applyFont="1" applyFill="1" applyBorder="1" applyAlignment="1" applyProtection="1">
      <alignment horizontal="left" vertical="top"/>
    </xf>
    <xf numFmtId="0" fontId="7" fillId="2" borderId="3" xfId="0" applyFont="1" applyFill="1" applyBorder="1" applyAlignment="1" applyProtection="1">
      <alignment horizontal="left" vertical="top"/>
    </xf>
    <xf numFmtId="0" fontId="7" fillId="2" borderId="4" xfId="0" applyFont="1" applyFill="1" applyBorder="1" applyAlignment="1" applyProtection="1">
      <alignment horizontal="left" vertical="top"/>
    </xf>
    <xf numFmtId="0" fontId="2" fillId="0" borderId="2" xfId="0" applyFont="1" applyBorder="1" applyAlignment="1" applyProtection="1">
      <alignment horizontal="left"/>
    </xf>
    <xf numFmtId="0" fontId="2" fillId="0" borderId="3" xfId="0" applyFont="1" applyBorder="1" applyAlignment="1" applyProtection="1">
      <alignment horizontal="left"/>
    </xf>
    <xf numFmtId="0" fontId="2" fillId="0" borderId="4" xfId="0" applyFont="1" applyBorder="1" applyAlignment="1" applyProtection="1">
      <alignment horizontal="left"/>
    </xf>
    <xf numFmtId="0" fontId="2" fillId="0" borderId="1" xfId="0" applyFont="1" applyBorder="1" applyAlignment="1" applyProtection="1">
      <alignment horizontal="left" vertical="top" wrapText="1"/>
      <protection locked="0"/>
    </xf>
    <xf numFmtId="0" fontId="2" fillId="0" borderId="0" xfId="0" applyFont="1" applyBorder="1" applyAlignment="1" applyProtection="1">
      <alignment horizontal="center"/>
    </xf>
    <xf numFmtId="0" fontId="5" fillId="0" borderId="2" xfId="0" applyFont="1" applyBorder="1" applyAlignment="1">
      <alignment horizontal="left" vertical="top" wrapText="1"/>
    </xf>
    <xf numFmtId="0" fontId="5" fillId="0" borderId="3" xfId="0" applyFont="1" applyBorder="1" applyAlignment="1">
      <alignment horizontal="left" vertical="top" wrapText="1"/>
    </xf>
    <xf numFmtId="0" fontId="5" fillId="0" borderId="4" xfId="0" applyFont="1" applyBorder="1" applyAlignment="1">
      <alignment horizontal="left" vertical="top" wrapText="1"/>
    </xf>
    <xf numFmtId="0" fontId="2" fillId="0" borderId="1" xfId="0" applyFont="1" applyBorder="1" applyAlignment="1">
      <alignment horizontal="left" vertical="top"/>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20" xfId="0" applyFont="1" applyFill="1" applyBorder="1" applyAlignment="1">
      <alignment horizontal="left" vertical="top"/>
    </xf>
    <xf numFmtId="0" fontId="4" fillId="0" borderId="1" xfId="0" applyFont="1" applyBorder="1" applyAlignment="1">
      <alignment horizontal="left" vertical="top"/>
    </xf>
    <xf numFmtId="2" fontId="2" fillId="0" borderId="1" xfId="0" applyNumberFormat="1" applyFont="1" applyBorder="1" applyAlignment="1">
      <alignment horizontal="left" vertical="top"/>
    </xf>
    <xf numFmtId="0" fontId="4" fillId="0" borderId="2" xfId="0" applyFont="1" applyBorder="1" applyAlignment="1">
      <alignment horizontal="left" vertical="top"/>
    </xf>
    <xf numFmtId="0" fontId="4" fillId="0" borderId="4" xfId="0" applyFont="1" applyBorder="1" applyAlignment="1">
      <alignment horizontal="left" vertical="top"/>
    </xf>
    <xf numFmtId="0" fontId="5" fillId="0" borderId="5" xfId="0" applyFont="1" applyBorder="1" applyAlignment="1" applyProtection="1">
      <alignment horizontal="left" vertical="top" wrapText="1"/>
    </xf>
    <xf numFmtId="0" fontId="5" fillId="0" borderId="7" xfId="0" applyFont="1" applyBorder="1" applyAlignment="1" applyProtection="1">
      <alignment horizontal="left" vertical="top" wrapText="1"/>
    </xf>
    <xf numFmtId="0" fontId="5" fillId="0" borderId="6" xfId="0" applyFont="1" applyBorder="1" applyAlignment="1" applyProtection="1">
      <alignment horizontal="left" vertical="top" wrapText="1"/>
    </xf>
    <xf numFmtId="0" fontId="2" fillId="0" borderId="2" xfId="0" applyFont="1" applyBorder="1" applyAlignment="1" applyProtection="1">
      <alignment horizontal="left" vertical="top" wrapText="1"/>
    </xf>
    <xf numFmtId="0" fontId="2" fillId="0" borderId="3" xfId="0" applyFont="1" applyBorder="1" applyAlignment="1" applyProtection="1">
      <alignment horizontal="left" vertical="top" wrapText="1"/>
    </xf>
    <xf numFmtId="0" fontId="2" fillId="0" borderId="4" xfId="0" applyFont="1" applyBorder="1" applyAlignment="1" applyProtection="1">
      <alignment horizontal="left" vertical="top" wrapText="1"/>
    </xf>
    <xf numFmtId="0" fontId="5" fillId="3" borderId="47" xfId="0" applyFont="1" applyFill="1" applyBorder="1" applyAlignment="1" applyProtection="1">
      <alignment horizontal="center" vertical="top" wrapText="1"/>
    </xf>
    <xf numFmtId="0" fontId="5" fillId="3" borderId="58" xfId="0" applyFont="1" applyFill="1" applyBorder="1" applyAlignment="1" applyProtection="1">
      <alignment horizontal="center" vertical="top" wrapText="1"/>
    </xf>
    <xf numFmtId="0" fontId="4" fillId="2" borderId="13" xfId="0" applyFont="1" applyFill="1" applyBorder="1" applyAlignment="1" applyProtection="1">
      <alignment horizontal="left" vertical="top"/>
    </xf>
    <xf numFmtId="0" fontId="4" fillId="2" borderId="1" xfId="0" applyFont="1" applyFill="1" applyBorder="1" applyAlignment="1" applyProtection="1">
      <alignment horizontal="left" vertical="top"/>
    </xf>
    <xf numFmtId="0" fontId="4" fillId="2" borderId="14" xfId="0" applyFont="1" applyFill="1" applyBorder="1" applyAlignment="1" applyProtection="1">
      <alignment horizontal="left" vertical="top"/>
    </xf>
    <xf numFmtId="0" fontId="3" fillId="2" borderId="1" xfId="0" applyFont="1" applyFill="1" applyBorder="1" applyAlignment="1" applyProtection="1">
      <alignment horizontal="left" vertical="top"/>
    </xf>
    <xf numFmtId="0" fontId="3" fillId="2" borderId="14" xfId="0" applyFont="1" applyFill="1" applyBorder="1" applyAlignment="1" applyProtection="1">
      <alignment horizontal="left" vertical="top"/>
    </xf>
    <xf numFmtId="0" fontId="2" fillId="0" borderId="14" xfId="0" applyFont="1" applyBorder="1" applyAlignment="1" applyProtection="1">
      <alignment horizontal="left" vertical="top" wrapText="1"/>
      <protection locked="0"/>
    </xf>
    <xf numFmtId="0" fontId="3" fillId="2" borderId="1" xfId="0" applyFont="1" applyFill="1" applyBorder="1" applyAlignment="1" applyProtection="1">
      <alignment horizontal="left"/>
    </xf>
    <xf numFmtId="0" fontId="6" fillId="0" borderId="1" xfId="0" applyFont="1" applyBorder="1" applyAlignment="1" applyProtection="1">
      <alignment horizontal="left" vertical="top" wrapText="1"/>
      <protection locked="0"/>
    </xf>
    <xf numFmtId="0" fontId="6" fillId="0" borderId="14" xfId="0" applyFont="1" applyBorder="1" applyAlignment="1" applyProtection="1">
      <alignment horizontal="left" vertical="top" wrapText="1"/>
      <protection locked="0"/>
    </xf>
    <xf numFmtId="0" fontId="6" fillId="0" borderId="1" xfId="0" applyFont="1" applyBorder="1" applyAlignment="1" applyProtection="1">
      <alignment horizontal="left"/>
      <protection locked="0"/>
    </xf>
    <xf numFmtId="0" fontId="20" fillId="0" borderId="26" xfId="0" applyFont="1" applyBorder="1" applyAlignment="1">
      <alignment horizontal="left" vertical="center" wrapText="1"/>
    </xf>
    <xf numFmtId="0" fontId="20" fillId="0" borderId="27" xfId="0" applyFont="1" applyBorder="1" applyAlignment="1">
      <alignment horizontal="left" vertical="center" wrapText="1"/>
    </xf>
    <xf numFmtId="0" fontId="20" fillId="0" borderId="29" xfId="0" applyFont="1" applyBorder="1" applyAlignment="1">
      <alignment horizontal="left" vertical="center" wrapText="1"/>
    </xf>
    <xf numFmtId="0" fontId="20" fillId="0" borderId="0" xfId="0" applyFont="1" applyBorder="1" applyAlignment="1">
      <alignment horizontal="left" vertical="center" wrapText="1"/>
    </xf>
    <xf numFmtId="0" fontId="18" fillId="0" borderId="26" xfId="0" applyFont="1" applyBorder="1" applyAlignment="1">
      <alignment vertical="center" wrapText="1"/>
    </xf>
    <xf numFmtId="0" fontId="18" fillId="0" borderId="27" xfId="0" applyFont="1" applyBorder="1" applyAlignment="1">
      <alignment vertical="center" wrapText="1"/>
    </xf>
    <xf numFmtId="0" fontId="18" fillId="0" borderId="29" xfId="0" applyFont="1" applyBorder="1" applyAlignment="1">
      <alignment vertical="center" wrapText="1"/>
    </xf>
    <xf numFmtId="0" fontId="18" fillId="0" borderId="0" xfId="0" applyFont="1" applyBorder="1" applyAlignment="1">
      <alignment vertical="center" wrapText="1"/>
    </xf>
    <xf numFmtId="0" fontId="2" fillId="0" borderId="26" xfId="0" applyFont="1" applyBorder="1" applyAlignment="1">
      <alignment horizontal="center"/>
    </xf>
    <xf numFmtId="0" fontId="2" fillId="0" borderId="27" xfId="0" applyFont="1" applyBorder="1" applyAlignment="1">
      <alignment horizontal="center"/>
    </xf>
    <xf numFmtId="0" fontId="18" fillId="0" borderId="0" xfId="0" applyFont="1" applyBorder="1" applyAlignment="1">
      <alignment horizontal="left" vertical="center" wrapText="1"/>
    </xf>
    <xf numFmtId="0" fontId="19" fillId="0" borderId="0" xfId="0" applyFont="1" applyBorder="1" applyAlignment="1">
      <alignment horizontal="left" vertical="center" wrapText="1"/>
    </xf>
    <xf numFmtId="0" fontId="28" fillId="0" borderId="15" xfId="0" applyFont="1" applyBorder="1" applyAlignment="1">
      <alignment horizontal="center"/>
    </xf>
    <xf numFmtId="0" fontId="28" fillId="0" borderId="17" xfId="0" applyFont="1" applyBorder="1" applyAlignment="1">
      <alignment horizontal="center"/>
    </xf>
    <xf numFmtId="0" fontId="29" fillId="0" borderId="36" xfId="0" applyFont="1" applyBorder="1" applyAlignment="1">
      <alignment horizontal="left"/>
    </xf>
    <xf numFmtId="0" fontId="29" fillId="0" borderId="58" xfId="0" applyFont="1" applyBorder="1" applyAlignment="1">
      <alignment horizontal="left"/>
    </xf>
    <xf numFmtId="0" fontId="29" fillId="0" borderId="3" xfId="0" applyFont="1" applyBorder="1" applyAlignment="1">
      <alignment horizontal="left"/>
    </xf>
    <xf numFmtId="0" fontId="29" fillId="0" borderId="4" xfId="0" applyFont="1" applyBorder="1" applyAlignment="1">
      <alignment horizontal="left"/>
    </xf>
    <xf numFmtId="0" fontId="29" fillId="0" borderId="44" xfId="0" applyFont="1" applyBorder="1" applyAlignment="1">
      <alignment horizontal="left"/>
    </xf>
    <xf numFmtId="0" fontId="29" fillId="0" borderId="62" xfId="0" applyFont="1" applyBorder="1" applyAlignment="1">
      <alignment horizontal="left"/>
    </xf>
    <xf numFmtId="0" fontId="22" fillId="0" borderId="30" xfId="0" applyFont="1" applyFill="1" applyBorder="1" applyAlignment="1">
      <alignment horizontal="center"/>
    </xf>
    <xf numFmtId="0" fontId="22" fillId="0" borderId="31" xfId="0" applyFont="1" applyFill="1" applyBorder="1" applyAlignment="1">
      <alignment horizontal="center"/>
    </xf>
    <xf numFmtId="0" fontId="28" fillId="0" borderId="30" xfId="0" applyFont="1" applyBorder="1" applyAlignment="1">
      <alignment horizontal="left"/>
    </xf>
    <xf numFmtId="0" fontId="28" fillId="0" borderId="31" xfId="0" applyFont="1" applyBorder="1" applyAlignment="1">
      <alignment horizontal="left"/>
    </xf>
    <xf numFmtId="0" fontId="28" fillId="0" borderId="32" xfId="0" applyFont="1" applyBorder="1" applyAlignment="1">
      <alignment horizontal="left"/>
    </xf>
    <xf numFmtId="0" fontId="28" fillId="0" borderId="8" xfId="0" applyFont="1" applyBorder="1" applyAlignment="1">
      <alignment horizontal="center"/>
    </xf>
    <xf numFmtId="0" fontId="28" fillId="0" borderId="10" xfId="0" applyFont="1" applyBorder="1" applyAlignment="1">
      <alignment horizontal="center"/>
    </xf>
    <xf numFmtId="0" fontId="28" fillId="0" borderId="13" xfId="0" applyFont="1" applyBorder="1" applyAlignment="1">
      <alignment horizontal="center"/>
    </xf>
    <xf numFmtId="0" fontId="28" fillId="0" borderId="14" xfId="0" applyFont="1" applyBorder="1" applyAlignment="1">
      <alignment horizontal="center"/>
    </xf>
    <xf numFmtId="0" fontId="23" fillId="7" borderId="13" xfId="1" applyFont="1" applyFill="1" applyBorder="1" applyAlignment="1">
      <alignment horizontal="left" vertical="center"/>
    </xf>
    <xf numFmtId="0" fontId="11" fillId="7" borderId="1" xfId="0" applyFont="1" applyFill="1" applyBorder="1" applyAlignment="1">
      <alignment horizontal="left" vertical="center"/>
    </xf>
    <xf numFmtId="0" fontId="11" fillId="7" borderId="2" xfId="0" applyFont="1" applyFill="1" applyBorder="1" applyAlignment="1">
      <alignment horizontal="left" vertical="center"/>
    </xf>
    <xf numFmtId="0" fontId="11" fillId="0" borderId="13" xfId="0" applyFont="1" applyFill="1" applyBorder="1" applyAlignment="1" applyProtection="1">
      <alignment horizontal="center"/>
      <protection locked="0"/>
    </xf>
    <xf numFmtId="0" fontId="11" fillId="0" borderId="14" xfId="0" applyFont="1" applyFill="1" applyBorder="1" applyAlignment="1" applyProtection="1">
      <alignment horizontal="center"/>
      <protection locked="0"/>
    </xf>
    <xf numFmtId="0" fontId="23" fillId="7" borderId="15" xfId="1" applyFont="1" applyFill="1" applyBorder="1" applyAlignment="1">
      <alignment horizontal="left" vertical="center"/>
    </xf>
    <xf numFmtId="0" fontId="11" fillId="7" borderId="16" xfId="0" applyFont="1" applyFill="1" applyBorder="1" applyAlignment="1">
      <alignment horizontal="left" vertical="center"/>
    </xf>
    <xf numFmtId="0" fontId="11" fillId="7" borderId="48" xfId="0" applyFont="1" applyFill="1" applyBorder="1" applyAlignment="1">
      <alignment horizontal="left" vertical="center"/>
    </xf>
    <xf numFmtId="0" fontId="11" fillId="0" borderId="15" xfId="0" applyFont="1" applyFill="1" applyBorder="1" applyAlignment="1" applyProtection="1">
      <alignment horizontal="center"/>
      <protection locked="0"/>
    </xf>
    <xf numFmtId="0" fontId="11" fillId="0" borderId="17" xfId="0" applyFont="1" applyFill="1" applyBorder="1" applyAlignment="1" applyProtection="1">
      <alignment horizontal="center"/>
      <protection locked="0"/>
    </xf>
    <xf numFmtId="0" fontId="23" fillId="7" borderId="1" xfId="1" applyFont="1" applyFill="1" applyBorder="1" applyAlignment="1">
      <alignment horizontal="left" vertical="center"/>
    </xf>
    <xf numFmtId="0" fontId="23" fillId="7" borderId="2" xfId="1" applyFont="1" applyFill="1" applyBorder="1" applyAlignment="1">
      <alignment horizontal="left" vertical="center"/>
    </xf>
    <xf numFmtId="0" fontId="22" fillId="5" borderId="30" xfId="0" applyFont="1" applyFill="1" applyBorder="1" applyAlignment="1">
      <alignment horizontal="center" vertical="center" textRotation="90"/>
    </xf>
    <xf numFmtId="0" fontId="22" fillId="5" borderId="11" xfId="0" applyFont="1" applyFill="1" applyBorder="1" applyAlignment="1">
      <alignment horizontal="center" vertical="center" textRotation="90"/>
    </xf>
    <xf numFmtId="0" fontId="22" fillId="5" borderId="38" xfId="0" applyFont="1" applyFill="1" applyBorder="1" applyAlignment="1">
      <alignment horizontal="center" vertical="center" textRotation="90"/>
    </xf>
    <xf numFmtId="0" fontId="22" fillId="5" borderId="46" xfId="0" applyFont="1" applyFill="1" applyBorder="1" applyAlignment="1">
      <alignment horizontal="center" vertical="center" textRotation="90"/>
    </xf>
    <xf numFmtId="0" fontId="23" fillId="6" borderId="35" xfId="1" applyFont="1" applyFill="1" applyBorder="1" applyAlignment="1">
      <alignment horizontal="left" vertical="center"/>
    </xf>
    <xf numFmtId="0" fontId="23" fillId="6" borderId="36" xfId="1" applyFont="1" applyFill="1" applyBorder="1" applyAlignment="1">
      <alignment horizontal="left" vertical="center"/>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3" fillId="8" borderId="40" xfId="1" applyFont="1" applyFill="1" applyBorder="1" applyAlignment="1">
      <alignment horizontal="left" vertical="center"/>
    </xf>
    <xf numFmtId="0" fontId="23" fillId="8" borderId="3" xfId="1" applyFont="1" applyFill="1" applyBorder="1" applyAlignment="1">
      <alignment horizontal="left" vertical="center"/>
    </xf>
    <xf numFmtId="0" fontId="23" fillId="8" borderId="41" xfId="1" applyFont="1" applyFill="1" applyBorder="1" applyAlignment="1">
      <alignment horizontal="left" vertical="center"/>
    </xf>
    <xf numFmtId="0" fontId="23" fillId="8" borderId="15" xfId="1" applyFont="1" applyFill="1" applyBorder="1" applyAlignment="1">
      <alignment horizontal="left" vertical="center"/>
    </xf>
    <xf numFmtId="0" fontId="23" fillId="8" borderId="16" xfId="1" applyFont="1" applyFill="1" applyBorder="1" applyAlignment="1">
      <alignment horizontal="left" vertical="center"/>
    </xf>
    <xf numFmtId="0" fontId="23" fillId="8" borderId="17" xfId="1" applyFont="1" applyFill="1" applyBorder="1" applyAlignment="1">
      <alignment horizontal="left" vertical="center"/>
    </xf>
    <xf numFmtId="0" fontId="22" fillId="5" borderId="23" xfId="0" applyFont="1" applyFill="1" applyBorder="1" applyAlignment="1">
      <alignment horizontal="center" vertical="center" textRotation="90"/>
    </xf>
    <xf numFmtId="0" fontId="23" fillId="7" borderId="8" xfId="1" applyFont="1" applyFill="1" applyBorder="1" applyAlignment="1">
      <alignment horizontal="left" vertical="center"/>
    </xf>
    <xf numFmtId="0" fontId="23" fillId="7" borderId="9" xfId="1" applyFont="1" applyFill="1" applyBorder="1" applyAlignment="1">
      <alignment horizontal="left" vertical="center"/>
    </xf>
    <xf numFmtId="0" fontId="23" fillId="7" borderId="47" xfId="1" applyFont="1" applyFill="1" applyBorder="1" applyAlignment="1">
      <alignment horizontal="left" vertical="center"/>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3" fillId="6" borderId="40" xfId="1" applyFont="1" applyFill="1" applyBorder="1" applyAlignment="1">
      <alignment horizontal="left" vertical="center"/>
    </xf>
    <xf numFmtId="0" fontId="23" fillId="6" borderId="3" xfId="1" applyFont="1" applyFill="1" applyBorder="1" applyAlignment="1">
      <alignment horizontal="left" vertical="center"/>
    </xf>
    <xf numFmtId="0" fontId="23" fillId="6" borderId="43" xfId="1" applyFont="1" applyFill="1" applyBorder="1" applyAlignment="1">
      <alignment horizontal="left" vertical="center"/>
    </xf>
    <xf numFmtId="0" fontId="23" fillId="6" borderId="44" xfId="1" applyFont="1" applyFill="1" applyBorder="1" applyAlignment="1">
      <alignment horizontal="left" vertical="center"/>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23" fillId="8" borderId="8" xfId="1" applyFont="1" applyFill="1" applyBorder="1" applyAlignment="1">
      <alignment horizontal="left" vertical="center"/>
    </xf>
    <xf numFmtId="0" fontId="23" fillId="8" borderId="9" xfId="1" applyFont="1" applyFill="1" applyBorder="1" applyAlignment="1">
      <alignment horizontal="left" vertical="center"/>
    </xf>
    <xf numFmtId="0" fontId="23" fillId="8" borderId="10" xfId="1" applyFont="1" applyFill="1" applyBorder="1" applyAlignment="1">
      <alignment horizontal="left" vertical="center"/>
    </xf>
    <xf numFmtId="0" fontId="23" fillId="8" borderId="13" xfId="1" applyFont="1" applyFill="1" applyBorder="1" applyAlignment="1">
      <alignment horizontal="left" vertical="center"/>
    </xf>
    <xf numFmtId="0" fontId="23" fillId="8" borderId="1" xfId="1" applyFont="1" applyFill="1" applyBorder="1" applyAlignment="1">
      <alignment horizontal="left" vertical="center"/>
    </xf>
    <xf numFmtId="0" fontId="23" fillId="8" borderId="14" xfId="1" applyFont="1" applyFill="1" applyBorder="1" applyAlignment="1">
      <alignment horizontal="left" vertical="center"/>
    </xf>
    <xf numFmtId="0" fontId="23" fillId="6" borderId="49" xfId="1" applyFont="1" applyFill="1" applyBorder="1" applyAlignment="1">
      <alignment vertical="center"/>
    </xf>
    <xf numFmtId="0" fontId="23" fillId="6" borderId="50" xfId="1" applyFont="1" applyFill="1" applyBorder="1" applyAlignment="1">
      <alignment vertical="center"/>
    </xf>
    <xf numFmtId="0" fontId="23" fillId="6" borderId="63" xfId="1" applyFont="1" applyFill="1" applyBorder="1" applyAlignment="1">
      <alignment vertical="center"/>
    </xf>
    <xf numFmtId="0" fontId="25" fillId="0" borderId="18" xfId="0" applyFont="1" applyFill="1" applyBorder="1" applyAlignment="1" applyProtection="1">
      <alignment horizontal="center"/>
      <protection locked="0"/>
    </xf>
    <xf numFmtId="0" fontId="25" fillId="0" borderId="20" xfId="0" applyFont="1" applyFill="1" applyBorder="1" applyAlignment="1" applyProtection="1">
      <alignment horizontal="center"/>
      <protection locked="0"/>
    </xf>
    <xf numFmtId="0" fontId="22" fillId="0" borderId="0" xfId="0" applyFont="1" applyFill="1" applyBorder="1" applyAlignment="1">
      <alignment horizontal="center"/>
    </xf>
    <xf numFmtId="0" fontId="23" fillId="8" borderId="4" xfId="1" applyFont="1" applyFill="1" applyBorder="1" applyAlignment="1">
      <alignment horizontal="left" vertical="center"/>
    </xf>
    <xf numFmtId="0" fontId="23" fillId="8" borderId="2" xfId="1" applyFont="1" applyFill="1" applyBorder="1" applyAlignment="1">
      <alignment horizontal="left" vertical="center"/>
    </xf>
    <xf numFmtId="0" fontId="23" fillId="8" borderId="62" xfId="1" applyFont="1" applyFill="1" applyBorder="1" applyAlignment="1">
      <alignment horizontal="left" vertical="center"/>
    </xf>
    <xf numFmtId="0" fontId="23" fillId="8" borderId="48" xfId="1" applyFont="1" applyFill="1" applyBorder="1" applyAlignment="1">
      <alignment horizontal="left" vertical="center"/>
    </xf>
    <xf numFmtId="0" fontId="23" fillId="9" borderId="4" xfId="1" applyFont="1" applyFill="1" applyBorder="1" applyAlignment="1">
      <alignment horizontal="left" vertical="center"/>
    </xf>
    <xf numFmtId="0" fontId="23" fillId="9" borderId="1" xfId="1" applyFont="1" applyFill="1" applyBorder="1" applyAlignment="1">
      <alignment horizontal="left" vertical="center"/>
    </xf>
    <xf numFmtId="0" fontId="23" fillId="9" borderId="2" xfId="1" applyFont="1" applyFill="1" applyBorder="1" applyAlignment="1">
      <alignment horizontal="left" vertical="center"/>
    </xf>
    <xf numFmtId="0" fontId="23" fillId="9" borderId="62" xfId="1" applyFont="1" applyFill="1" applyBorder="1" applyAlignment="1">
      <alignment horizontal="left" vertical="center"/>
    </xf>
    <xf numFmtId="0" fontId="23" fillId="9" borderId="16" xfId="1" applyFont="1" applyFill="1" applyBorder="1" applyAlignment="1">
      <alignment horizontal="left" vertical="center"/>
    </xf>
    <xf numFmtId="0" fontId="23" fillId="9" borderId="48" xfId="1" applyFont="1" applyFill="1" applyBorder="1" applyAlignment="1">
      <alignment horizontal="left" vertical="center"/>
    </xf>
    <xf numFmtId="0" fontId="25" fillId="0" borderId="53"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3" fillId="8" borderId="60" xfId="1" applyFont="1" applyFill="1" applyBorder="1" applyAlignment="1">
      <alignment horizontal="left" vertical="center"/>
    </xf>
    <xf numFmtId="0" fontId="23" fillId="8" borderId="6" xfId="1" applyFont="1" applyFill="1" applyBorder="1" applyAlignment="1">
      <alignment horizontal="left" vertical="center"/>
    </xf>
    <xf numFmtId="0" fontId="23" fillId="8" borderId="61" xfId="1" applyFont="1" applyFill="1" applyBorder="1" applyAlignment="1">
      <alignment horizontal="left" vertical="center"/>
    </xf>
    <xf numFmtId="0" fontId="22" fillId="5" borderId="33" xfId="0" applyFont="1" applyFill="1" applyBorder="1" applyAlignment="1">
      <alignment horizontal="center" vertical="center" textRotation="90"/>
    </xf>
    <xf numFmtId="0" fontId="23" fillId="10" borderId="40" xfId="1" applyFont="1" applyFill="1" applyBorder="1" applyAlignment="1">
      <alignment horizontal="left" vertical="center"/>
    </xf>
    <xf numFmtId="0" fontId="23" fillId="10" borderId="3" xfId="1" applyFont="1" applyFill="1" applyBorder="1" applyAlignment="1">
      <alignment horizontal="left" vertical="center"/>
    </xf>
    <xf numFmtId="0" fontId="22" fillId="0" borderId="32" xfId="0" applyFont="1" applyFill="1" applyBorder="1" applyAlignment="1">
      <alignment horizontal="center"/>
    </xf>
    <xf numFmtId="0" fontId="11" fillId="0" borderId="43" xfId="0" applyFont="1" applyFill="1" applyBorder="1" applyAlignment="1" applyProtection="1">
      <alignment horizontal="center"/>
      <protection locked="0"/>
    </xf>
    <xf numFmtId="0" fontId="11" fillId="0" borderId="45" xfId="0" applyFont="1" applyFill="1" applyBorder="1" applyAlignment="1" applyProtection="1">
      <alignment horizontal="center"/>
      <protection locked="0"/>
    </xf>
    <xf numFmtId="0" fontId="18" fillId="0" borderId="30" xfId="0" applyFont="1" applyBorder="1" applyAlignment="1" applyProtection="1">
      <alignment horizontal="left" vertical="top"/>
      <protection locked="0"/>
    </xf>
    <xf numFmtId="0" fontId="18" fillId="0" borderId="31" xfId="0" applyFont="1" applyBorder="1" applyAlignment="1" applyProtection="1">
      <alignment horizontal="left" vertical="top"/>
      <protection locked="0"/>
    </xf>
    <xf numFmtId="0" fontId="18" fillId="0" borderId="32" xfId="0" applyFont="1" applyBorder="1" applyAlignment="1" applyProtection="1">
      <alignment horizontal="left" vertical="top"/>
      <protection locked="0"/>
    </xf>
    <xf numFmtId="0" fontId="18" fillId="0" borderId="11" xfId="0" applyFont="1" applyBorder="1" applyAlignment="1" applyProtection="1">
      <alignment horizontal="left" vertical="top"/>
      <protection locked="0"/>
    </xf>
    <xf numFmtId="0" fontId="18" fillId="0" borderId="0" xfId="0" applyFont="1" applyBorder="1" applyAlignment="1" applyProtection="1">
      <alignment horizontal="left" vertical="top"/>
      <protection locked="0"/>
    </xf>
    <xf numFmtId="0" fontId="18" fillId="0" borderId="12" xfId="0" applyFont="1" applyBorder="1" applyAlignment="1" applyProtection="1">
      <alignment horizontal="left" vertical="top"/>
      <protection locked="0"/>
    </xf>
    <xf numFmtId="0" fontId="18" fillId="0" borderId="23" xfId="0" applyFont="1" applyBorder="1" applyAlignment="1" applyProtection="1">
      <alignment horizontal="left" vertical="top"/>
      <protection locked="0"/>
    </xf>
    <xf numFmtId="0" fontId="18" fillId="0" borderId="24" xfId="0" applyFont="1" applyBorder="1" applyAlignment="1" applyProtection="1">
      <alignment horizontal="left" vertical="top"/>
      <protection locked="0"/>
    </xf>
    <xf numFmtId="0" fontId="18" fillId="0" borderId="25" xfId="0" applyFont="1" applyBorder="1" applyAlignment="1" applyProtection="1">
      <alignment horizontal="left" vertical="top"/>
      <protection locked="0"/>
    </xf>
    <xf numFmtId="0" fontId="19" fillId="0" borderId="18" xfId="0" applyFont="1" applyBorder="1" applyAlignment="1">
      <alignment horizontal="left"/>
    </xf>
    <xf numFmtId="0" fontId="19" fillId="0" borderId="19" xfId="0" applyFont="1" applyBorder="1" applyAlignment="1">
      <alignment horizontal="left"/>
    </xf>
    <xf numFmtId="0" fontId="19" fillId="0" borderId="20" xfId="0" applyFont="1" applyBorder="1" applyAlignment="1">
      <alignment horizontal="left"/>
    </xf>
    <xf numFmtId="0" fontId="23" fillId="7" borderId="10" xfId="1" applyFont="1" applyFill="1" applyBorder="1" applyAlignment="1">
      <alignment horizontal="left" vertical="center"/>
    </xf>
    <xf numFmtId="0" fontId="25" fillId="0" borderId="35" xfId="0" applyFont="1" applyFill="1" applyBorder="1" applyAlignment="1" applyProtection="1">
      <alignment horizontal="center"/>
      <protection locked="0"/>
    </xf>
    <xf numFmtId="0" fontId="25" fillId="0" borderId="37" xfId="0" applyFont="1" applyFill="1" applyBorder="1" applyAlignment="1" applyProtection="1">
      <alignment horizontal="center"/>
      <protection locked="0"/>
    </xf>
    <xf numFmtId="0" fontId="23" fillId="7" borderId="14" xfId="1" applyFont="1" applyFill="1" applyBorder="1" applyAlignment="1">
      <alignment horizontal="left" vertical="center"/>
    </xf>
    <xf numFmtId="0" fontId="23" fillId="7" borderId="53" xfId="1" applyFont="1" applyFill="1" applyBorder="1" applyAlignment="1">
      <alignment horizontal="left" vertical="center"/>
    </xf>
    <xf numFmtId="0" fontId="23" fillId="7" borderId="5" xfId="1" applyFont="1" applyFill="1" applyBorder="1" applyAlignment="1">
      <alignment horizontal="left" vertical="center"/>
    </xf>
    <xf numFmtId="0" fontId="23" fillId="7" borderId="54" xfId="1" applyFont="1" applyFill="1" applyBorder="1" applyAlignment="1">
      <alignment horizontal="left" vertical="center"/>
    </xf>
    <xf numFmtId="0" fontId="23" fillId="9" borderId="8" xfId="1" applyFont="1" applyFill="1" applyBorder="1" applyAlignment="1">
      <alignment horizontal="left" vertical="center"/>
    </xf>
    <xf numFmtId="0" fontId="23" fillId="9" borderId="9" xfId="1" applyFont="1" applyFill="1" applyBorder="1" applyAlignment="1">
      <alignment horizontal="left" vertical="center"/>
    </xf>
    <xf numFmtId="0" fontId="23" fillId="9" borderId="10" xfId="1" applyFont="1" applyFill="1" applyBorder="1" applyAlignment="1">
      <alignment horizontal="left" vertical="center"/>
    </xf>
    <xf numFmtId="0" fontId="11" fillId="0" borderId="35" xfId="0" applyFont="1" applyFill="1" applyBorder="1" applyAlignment="1" applyProtection="1">
      <alignment horizontal="center"/>
      <protection locked="0"/>
    </xf>
    <xf numFmtId="0" fontId="11" fillId="0" borderId="37" xfId="0" applyFont="1" applyFill="1" applyBorder="1" applyAlignment="1" applyProtection="1">
      <alignment horizontal="center"/>
      <protection locked="0"/>
    </xf>
    <xf numFmtId="0" fontId="23" fillId="9" borderId="15" xfId="1" applyFont="1" applyFill="1" applyBorder="1" applyAlignment="1">
      <alignment horizontal="left" vertical="center"/>
    </xf>
    <xf numFmtId="0" fontId="23" fillId="9" borderId="17" xfId="1" applyFont="1" applyFill="1" applyBorder="1" applyAlignment="1">
      <alignment horizontal="left" vertical="center"/>
    </xf>
    <xf numFmtId="0" fontId="23" fillId="9" borderId="47" xfId="1" applyFont="1" applyFill="1" applyBorder="1" applyAlignment="1">
      <alignment horizontal="left" vertical="center"/>
    </xf>
    <xf numFmtId="0" fontId="23" fillId="9" borderId="13" xfId="1" applyFont="1" applyFill="1" applyBorder="1" applyAlignment="1">
      <alignment horizontal="left" vertical="center"/>
    </xf>
    <xf numFmtId="0" fontId="25" fillId="0" borderId="15" xfId="0" applyFont="1" applyFill="1" applyBorder="1" applyAlignment="1">
      <alignment horizontal="center"/>
    </xf>
    <xf numFmtId="0" fontId="25" fillId="0" borderId="17" xfId="0" applyFont="1" applyFill="1" applyBorder="1" applyAlignment="1">
      <alignment horizontal="center"/>
    </xf>
    <xf numFmtId="0" fontId="23" fillId="8" borderId="55" xfId="1" applyFont="1" applyFill="1" applyBorder="1" applyAlignment="1">
      <alignment horizontal="left" vertical="center"/>
    </xf>
    <xf numFmtId="0" fontId="23" fillId="8" borderId="26" xfId="1" applyFont="1" applyFill="1" applyBorder="1" applyAlignment="1">
      <alignment horizontal="left" vertical="center"/>
    </xf>
    <xf numFmtId="0" fontId="23" fillId="8" borderId="56" xfId="1" applyFont="1" applyFill="1" applyBorder="1" applyAlignment="1">
      <alignment horizontal="left" vertical="center"/>
    </xf>
    <xf numFmtId="0" fontId="23" fillId="6" borderId="37" xfId="1" applyFont="1" applyFill="1" applyBorder="1" applyAlignment="1">
      <alignment horizontal="left" vertical="center"/>
    </xf>
    <xf numFmtId="0" fontId="23" fillId="6" borderId="55" xfId="1" applyFont="1" applyFill="1" applyBorder="1" applyAlignment="1">
      <alignment horizontal="left" vertical="center"/>
    </xf>
    <xf numFmtId="0" fontId="23" fillId="6" borderId="26" xfId="1" applyFont="1" applyFill="1" applyBorder="1" applyAlignment="1">
      <alignment horizontal="left" vertical="center"/>
    </xf>
    <xf numFmtId="0" fontId="23" fillId="6" borderId="56" xfId="1" applyFont="1" applyFill="1" applyBorder="1" applyAlignment="1">
      <alignment horizontal="left" vertical="center"/>
    </xf>
    <xf numFmtId="0" fontId="25" fillId="0" borderId="43" xfId="0" applyFont="1" applyFill="1" applyBorder="1" applyAlignment="1" applyProtection="1">
      <alignment horizontal="center"/>
      <protection locked="0"/>
    </xf>
    <xf numFmtId="0" fontId="25" fillId="0" borderId="45" xfId="0" applyFont="1" applyFill="1" applyBorder="1" applyAlignment="1" applyProtection="1">
      <alignment horizontal="center"/>
      <protection locked="0"/>
    </xf>
    <xf numFmtId="0" fontId="23" fillId="7" borderId="18" xfId="1" applyFont="1" applyFill="1" applyBorder="1" applyAlignment="1">
      <alignment horizontal="left" vertical="center"/>
    </xf>
    <xf numFmtId="0" fontId="23" fillId="7" borderId="19" xfId="1" applyFont="1" applyFill="1" applyBorder="1" applyAlignment="1">
      <alignment horizontal="left" vertical="center"/>
    </xf>
    <xf numFmtId="0" fontId="23" fillId="7" borderId="20" xfId="1" applyFont="1" applyFill="1" applyBorder="1" applyAlignment="1">
      <alignment horizontal="left" vertical="center"/>
    </xf>
    <xf numFmtId="0" fontId="23" fillId="6" borderId="8" xfId="1" applyFont="1" applyFill="1" applyBorder="1" applyAlignment="1">
      <alignment vertical="center"/>
    </xf>
    <xf numFmtId="0" fontId="23" fillId="6" borderId="9" xfId="1" applyFont="1" applyFill="1" applyBorder="1" applyAlignment="1">
      <alignment vertical="center"/>
    </xf>
    <xf numFmtId="0" fontId="23" fillId="6" borderId="10" xfId="1" applyFont="1" applyFill="1" applyBorder="1" applyAlignment="1">
      <alignment vertical="center"/>
    </xf>
    <xf numFmtId="0" fontId="23" fillId="6" borderId="40" xfId="1" applyFont="1" applyFill="1" applyBorder="1" applyAlignment="1">
      <alignment vertical="center"/>
    </xf>
    <xf numFmtId="0" fontId="23" fillId="6" borderId="3" xfId="1" applyFont="1" applyFill="1" applyBorder="1" applyAlignment="1">
      <alignment vertical="center"/>
    </xf>
    <xf numFmtId="0" fontId="23" fillId="6" borderId="41" xfId="1" applyFont="1" applyFill="1" applyBorder="1" applyAlignment="1">
      <alignment vertical="center"/>
    </xf>
    <xf numFmtId="0" fontId="23" fillId="8" borderId="53" xfId="1" applyFont="1" applyFill="1" applyBorder="1" applyAlignment="1">
      <alignment horizontal="left" vertical="center"/>
    </xf>
    <xf numFmtId="0" fontId="23" fillId="8" borderId="5" xfId="1" applyFont="1" applyFill="1" applyBorder="1" applyAlignment="1">
      <alignment horizontal="left" vertical="center"/>
    </xf>
    <xf numFmtId="0" fontId="23" fillId="8" borderId="54" xfId="1" applyFont="1" applyFill="1" applyBorder="1" applyAlignment="1">
      <alignment horizontal="left" vertical="center"/>
    </xf>
    <xf numFmtId="0" fontId="25" fillId="0" borderId="40" xfId="0" applyFont="1" applyFill="1" applyBorder="1" applyAlignment="1" applyProtection="1">
      <alignment horizontal="center"/>
      <protection locked="0"/>
    </xf>
    <xf numFmtId="0" fontId="25" fillId="0" borderId="41" xfId="0" applyFont="1" applyFill="1" applyBorder="1" applyAlignment="1" applyProtection="1">
      <alignment horizontal="center"/>
      <protection locked="0"/>
    </xf>
    <xf numFmtId="0" fontId="23" fillId="6" borderId="43" xfId="1" applyFont="1" applyFill="1" applyBorder="1" applyAlignment="1">
      <alignment vertical="center"/>
    </xf>
    <xf numFmtId="0" fontId="23" fillId="6" borderId="44" xfId="1" applyFont="1" applyFill="1" applyBorder="1" applyAlignment="1">
      <alignment vertical="center"/>
    </xf>
    <xf numFmtId="0" fontId="23" fillId="6" borderId="45" xfId="1" applyFont="1" applyFill="1" applyBorder="1" applyAlignment="1">
      <alignment vertical="center"/>
    </xf>
    <xf numFmtId="0" fontId="24" fillId="6" borderId="13" xfId="1" applyFont="1" applyFill="1" applyBorder="1" applyAlignment="1">
      <alignment vertical="center"/>
    </xf>
    <xf numFmtId="0" fontId="24" fillId="6" borderId="1" xfId="1" applyFont="1" applyFill="1" applyBorder="1" applyAlignment="1">
      <alignment vertical="center"/>
    </xf>
    <xf numFmtId="0" fontId="24" fillId="6" borderId="14" xfId="1" applyFont="1" applyFill="1" applyBorder="1" applyAlignment="1">
      <alignment vertical="center"/>
    </xf>
    <xf numFmtId="0" fontId="23" fillId="6" borderId="41" xfId="1" applyFont="1" applyFill="1" applyBorder="1" applyAlignment="1">
      <alignment horizontal="left" vertical="center"/>
    </xf>
    <xf numFmtId="0" fontId="23" fillId="6" borderId="45" xfId="1" applyFont="1" applyFill="1" applyBorder="1" applyAlignment="1">
      <alignment horizontal="left" vertical="center"/>
    </xf>
    <xf numFmtId="0" fontId="23" fillId="7" borderId="23" xfId="1" applyFont="1" applyFill="1" applyBorder="1" applyAlignment="1">
      <alignment horizontal="left" vertical="center"/>
    </xf>
    <xf numFmtId="0" fontId="23" fillId="7" borderId="24" xfId="1" applyFont="1" applyFill="1" applyBorder="1" applyAlignment="1">
      <alignment horizontal="left" vertical="center"/>
    </xf>
    <xf numFmtId="0" fontId="23" fillId="7" borderId="25" xfId="1" applyFont="1" applyFill="1" applyBorder="1" applyAlignment="1">
      <alignment horizontal="left" vertical="center"/>
    </xf>
    <xf numFmtId="0" fontId="23" fillId="9" borderId="49" xfId="1" applyFont="1" applyFill="1" applyBorder="1" applyAlignment="1">
      <alignment horizontal="left" vertical="center"/>
    </xf>
    <xf numFmtId="0" fontId="23" fillId="9" borderId="50" xfId="1" applyFont="1" applyFill="1" applyBorder="1" applyAlignment="1">
      <alignment horizontal="left" vertical="center"/>
    </xf>
    <xf numFmtId="0" fontId="23" fillId="9" borderId="51" xfId="1" applyFont="1" applyFill="1" applyBorder="1" applyAlignment="1">
      <alignment horizontal="left" vertical="center"/>
    </xf>
    <xf numFmtId="0" fontId="2" fillId="0" borderId="0" xfId="0" applyFont="1" applyAlignment="1">
      <alignment horizontal="center" vertical="center" textRotation="90" wrapText="1"/>
    </xf>
    <xf numFmtId="0" fontId="13" fillId="0" borderId="0" xfId="0" applyFont="1" applyAlignment="1">
      <alignment horizontal="left" vertical="top" wrapText="1"/>
    </xf>
    <xf numFmtId="0" fontId="6" fillId="12" borderId="1" xfId="0" applyFont="1" applyFill="1" applyBorder="1" applyAlignment="1" applyProtection="1">
      <alignment horizontal="center"/>
      <protection locked="0"/>
    </xf>
    <xf numFmtId="0" fontId="6" fillId="0" borderId="4" xfId="0" applyFont="1" applyFill="1" applyBorder="1" applyAlignment="1" applyProtection="1">
      <alignment horizontal="center"/>
      <protection locked="0"/>
    </xf>
  </cellXfs>
  <cellStyles count="2">
    <cellStyle name="Normal" xfId="0" builtinId="0"/>
    <cellStyle name="Normal 2" xfId="1"/>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669E40"/>
      <color rgb="FF000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255950528"/>
        <c:axId val="255950920"/>
      </c:lineChart>
      <c:catAx>
        <c:axId val="255950528"/>
        <c:scaling>
          <c:orientation val="minMax"/>
        </c:scaling>
        <c:delete val="1"/>
        <c:axPos val="b"/>
        <c:majorTickMark val="none"/>
        <c:minorTickMark val="none"/>
        <c:tickLblPos val="nextTo"/>
        <c:crossAx val="255950920"/>
        <c:crosses val="autoZero"/>
        <c:auto val="1"/>
        <c:lblAlgn val="ctr"/>
        <c:lblOffset val="100"/>
        <c:noMultiLvlLbl val="0"/>
      </c:catAx>
      <c:valAx>
        <c:axId val="255950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255950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300347480"/>
        <c:axId val="300350616"/>
      </c:lineChart>
      <c:catAx>
        <c:axId val="300347480"/>
        <c:scaling>
          <c:orientation val="minMax"/>
        </c:scaling>
        <c:delete val="1"/>
        <c:axPos val="b"/>
        <c:majorTickMark val="none"/>
        <c:minorTickMark val="none"/>
        <c:tickLblPos val="nextTo"/>
        <c:crossAx val="300350616"/>
        <c:crosses val="autoZero"/>
        <c:auto val="1"/>
        <c:lblAlgn val="ctr"/>
        <c:lblOffset val="100"/>
        <c:noMultiLvlLbl val="0"/>
      </c:catAx>
      <c:valAx>
        <c:axId val="300350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003474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0345912"/>
        <c:axId val="300351792"/>
      </c:lineChart>
      <c:catAx>
        <c:axId val="3003459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0351792"/>
        <c:crosses val="autoZero"/>
        <c:auto val="1"/>
        <c:lblAlgn val="ctr"/>
        <c:lblOffset val="100"/>
        <c:noMultiLvlLbl val="0"/>
      </c:catAx>
      <c:valAx>
        <c:axId val="3003517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0345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0348656"/>
        <c:axId val="300352576"/>
      </c:lineChart>
      <c:catAx>
        <c:axId val="3003486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0352576"/>
        <c:crosses val="autoZero"/>
        <c:auto val="1"/>
        <c:lblAlgn val="ctr"/>
        <c:lblOffset val="100"/>
        <c:noMultiLvlLbl val="0"/>
      </c:catAx>
      <c:valAx>
        <c:axId val="30035257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0348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0352968"/>
        <c:axId val="300347872"/>
      </c:lineChart>
      <c:catAx>
        <c:axId val="3003529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0347872"/>
        <c:crosses val="autoZero"/>
        <c:auto val="1"/>
        <c:lblAlgn val="ctr"/>
        <c:lblOffset val="100"/>
        <c:noMultiLvlLbl val="0"/>
      </c:catAx>
      <c:valAx>
        <c:axId val="3003478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0352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0348264"/>
        <c:axId val="300349048"/>
      </c:lineChart>
      <c:catAx>
        <c:axId val="3003482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0349048"/>
        <c:crosses val="autoZero"/>
        <c:auto val="1"/>
        <c:lblAlgn val="ctr"/>
        <c:lblOffset val="100"/>
        <c:noMultiLvlLbl val="0"/>
      </c:catAx>
      <c:valAx>
        <c:axId val="3003490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0348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0349440"/>
        <c:axId val="300349832"/>
      </c:lineChart>
      <c:catAx>
        <c:axId val="300349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0349832"/>
        <c:crosses val="autoZero"/>
        <c:auto val="1"/>
        <c:lblAlgn val="ctr"/>
        <c:lblOffset val="100"/>
        <c:noMultiLvlLbl val="0"/>
      </c:catAx>
      <c:valAx>
        <c:axId val="3003498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0349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0353360"/>
        <c:axId val="300346696"/>
      </c:lineChart>
      <c:catAx>
        <c:axId val="3003533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0346696"/>
        <c:crosses val="autoZero"/>
        <c:auto val="1"/>
        <c:lblAlgn val="ctr"/>
        <c:lblOffset val="100"/>
        <c:noMultiLvlLbl val="0"/>
      </c:catAx>
      <c:valAx>
        <c:axId val="3003466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0353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1242968"/>
        <c:axId val="301237872"/>
      </c:lineChart>
      <c:catAx>
        <c:axId val="3012429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1237872"/>
        <c:crosses val="autoZero"/>
        <c:auto val="1"/>
        <c:lblAlgn val="ctr"/>
        <c:lblOffset val="100"/>
        <c:noMultiLvlLbl val="0"/>
      </c:catAx>
      <c:valAx>
        <c:axId val="3012378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1242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1241008"/>
        <c:axId val="301239048"/>
      </c:lineChart>
      <c:catAx>
        <c:axId val="3012410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1239048"/>
        <c:crosses val="autoZero"/>
        <c:auto val="1"/>
        <c:lblAlgn val="ctr"/>
        <c:lblOffset val="100"/>
        <c:noMultiLvlLbl val="0"/>
      </c:catAx>
      <c:valAx>
        <c:axId val="3012390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1241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1242576"/>
        <c:axId val="301243752"/>
      </c:lineChart>
      <c:catAx>
        <c:axId val="3012425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1243752"/>
        <c:crosses val="autoZero"/>
        <c:auto val="1"/>
        <c:lblAlgn val="ctr"/>
        <c:lblOffset val="100"/>
        <c:noMultiLvlLbl val="0"/>
      </c:catAx>
      <c:valAx>
        <c:axId val="30124375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1242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1238656"/>
        <c:axId val="301236304"/>
      </c:lineChart>
      <c:catAx>
        <c:axId val="3012386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1236304"/>
        <c:crosses val="autoZero"/>
        <c:auto val="1"/>
        <c:lblAlgn val="ctr"/>
        <c:lblOffset val="100"/>
        <c:noMultiLvlLbl val="0"/>
      </c:catAx>
      <c:valAx>
        <c:axId val="3012363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1238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1242184"/>
        <c:axId val="301236696"/>
      </c:lineChart>
      <c:catAx>
        <c:axId val="3012421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1236696"/>
        <c:crosses val="autoZero"/>
        <c:auto val="1"/>
        <c:lblAlgn val="ctr"/>
        <c:lblOffset val="100"/>
        <c:noMultiLvlLbl val="0"/>
      </c:catAx>
      <c:valAx>
        <c:axId val="3012366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12421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1239832"/>
        <c:axId val="301237480"/>
      </c:lineChart>
      <c:catAx>
        <c:axId val="3012398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1237480"/>
        <c:crosses val="autoZero"/>
        <c:auto val="1"/>
        <c:lblAlgn val="ctr"/>
        <c:lblOffset val="100"/>
        <c:noMultiLvlLbl val="0"/>
      </c:catAx>
      <c:valAx>
        <c:axId val="3012374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12398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01241400"/>
        <c:axId val="300854440"/>
      </c:lineChart>
      <c:catAx>
        <c:axId val="301241400"/>
        <c:scaling>
          <c:orientation val="minMax"/>
        </c:scaling>
        <c:delete val="1"/>
        <c:axPos val="b"/>
        <c:majorTickMark val="none"/>
        <c:minorTickMark val="none"/>
        <c:tickLblPos val="nextTo"/>
        <c:crossAx val="300854440"/>
        <c:crosses val="autoZero"/>
        <c:auto val="1"/>
        <c:lblAlgn val="ctr"/>
        <c:lblOffset val="100"/>
        <c:noMultiLvlLbl val="0"/>
      </c:catAx>
      <c:valAx>
        <c:axId val="300854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01241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300855224"/>
        <c:axId val="300854832"/>
      </c:lineChart>
      <c:catAx>
        <c:axId val="300855224"/>
        <c:scaling>
          <c:orientation val="minMax"/>
        </c:scaling>
        <c:delete val="1"/>
        <c:axPos val="b"/>
        <c:majorTickMark val="none"/>
        <c:minorTickMark val="none"/>
        <c:tickLblPos val="nextTo"/>
        <c:crossAx val="300854832"/>
        <c:crosses val="autoZero"/>
        <c:auto val="1"/>
        <c:lblAlgn val="ctr"/>
        <c:lblOffset val="100"/>
        <c:noMultiLvlLbl val="0"/>
      </c:catAx>
      <c:valAx>
        <c:axId val="300854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00855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300861104"/>
        <c:axId val="300861496"/>
      </c:lineChart>
      <c:catAx>
        <c:axId val="300861104"/>
        <c:scaling>
          <c:orientation val="minMax"/>
        </c:scaling>
        <c:delete val="1"/>
        <c:axPos val="b"/>
        <c:majorTickMark val="none"/>
        <c:minorTickMark val="none"/>
        <c:tickLblPos val="nextTo"/>
        <c:crossAx val="300861496"/>
        <c:crosses val="autoZero"/>
        <c:auto val="1"/>
        <c:lblAlgn val="ctr"/>
        <c:lblOffset val="100"/>
        <c:noMultiLvlLbl val="0"/>
      </c:catAx>
      <c:valAx>
        <c:axId val="300861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00861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0860320"/>
        <c:axId val="300859144"/>
      </c:lineChart>
      <c:catAx>
        <c:axId val="3008603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0859144"/>
        <c:crosses val="autoZero"/>
        <c:auto val="1"/>
        <c:lblAlgn val="ctr"/>
        <c:lblOffset val="100"/>
        <c:noMultiLvlLbl val="0"/>
      </c:catAx>
      <c:valAx>
        <c:axId val="3008591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0860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0856400"/>
        <c:axId val="300856792"/>
      </c:lineChart>
      <c:catAx>
        <c:axId val="3008564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0856792"/>
        <c:crosses val="autoZero"/>
        <c:auto val="1"/>
        <c:lblAlgn val="ctr"/>
        <c:lblOffset val="100"/>
        <c:noMultiLvlLbl val="0"/>
      </c:catAx>
      <c:valAx>
        <c:axId val="3008567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0856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0858360"/>
        <c:axId val="300859928"/>
      </c:lineChart>
      <c:catAx>
        <c:axId val="3008583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0859928"/>
        <c:crosses val="autoZero"/>
        <c:auto val="1"/>
        <c:lblAlgn val="ctr"/>
        <c:lblOffset val="100"/>
        <c:noMultiLvlLbl val="0"/>
      </c:catAx>
      <c:valAx>
        <c:axId val="3008599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0858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0856008"/>
        <c:axId val="300855616"/>
      </c:lineChart>
      <c:catAx>
        <c:axId val="3008560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0855616"/>
        <c:crosses val="autoZero"/>
        <c:auto val="1"/>
        <c:lblAlgn val="ctr"/>
        <c:lblOffset val="100"/>
        <c:noMultiLvlLbl val="0"/>
      </c:catAx>
      <c:valAx>
        <c:axId val="3008556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0856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2132392"/>
        <c:axId val="302130040"/>
      </c:lineChart>
      <c:catAx>
        <c:axId val="3021323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130040"/>
        <c:crosses val="autoZero"/>
        <c:auto val="1"/>
        <c:lblAlgn val="ctr"/>
        <c:lblOffset val="100"/>
        <c:noMultiLvlLbl val="0"/>
      </c:catAx>
      <c:valAx>
        <c:axId val="3021300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132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2133176"/>
        <c:axId val="302132000"/>
      </c:lineChart>
      <c:catAx>
        <c:axId val="3021331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132000"/>
        <c:crosses val="autoZero"/>
        <c:auto val="1"/>
        <c:lblAlgn val="ctr"/>
        <c:lblOffset val="100"/>
        <c:noMultiLvlLbl val="0"/>
      </c:catAx>
      <c:valAx>
        <c:axId val="3021320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133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2129256"/>
        <c:axId val="302130432"/>
      </c:lineChart>
      <c:catAx>
        <c:axId val="3021292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130432"/>
        <c:crosses val="autoZero"/>
        <c:auto val="1"/>
        <c:lblAlgn val="ctr"/>
        <c:lblOffset val="100"/>
        <c:noMultiLvlLbl val="0"/>
      </c:catAx>
      <c:valAx>
        <c:axId val="3021304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129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2131216"/>
        <c:axId val="302133568"/>
      </c:lineChart>
      <c:catAx>
        <c:axId val="3021312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133568"/>
        <c:crosses val="autoZero"/>
        <c:auto val="1"/>
        <c:lblAlgn val="ctr"/>
        <c:lblOffset val="100"/>
        <c:noMultiLvlLbl val="0"/>
      </c:catAx>
      <c:valAx>
        <c:axId val="3021335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1312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2131608"/>
        <c:axId val="302130824"/>
      </c:lineChart>
      <c:catAx>
        <c:axId val="3021316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130824"/>
        <c:crosses val="autoZero"/>
        <c:auto val="1"/>
        <c:lblAlgn val="ctr"/>
        <c:lblOffset val="100"/>
        <c:noMultiLvlLbl val="0"/>
      </c:catAx>
      <c:valAx>
        <c:axId val="3021308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131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2134744"/>
        <c:axId val="302135920"/>
      </c:lineChart>
      <c:catAx>
        <c:axId val="3021347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135920"/>
        <c:crosses val="autoZero"/>
        <c:auto val="1"/>
        <c:lblAlgn val="ctr"/>
        <c:lblOffset val="100"/>
        <c:noMultiLvlLbl val="0"/>
      </c:catAx>
      <c:valAx>
        <c:axId val="3021359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1347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2136704"/>
        <c:axId val="302129648"/>
      </c:lineChart>
      <c:catAx>
        <c:axId val="3021367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129648"/>
        <c:crosses val="autoZero"/>
        <c:auto val="1"/>
        <c:lblAlgn val="ctr"/>
        <c:lblOffset val="100"/>
        <c:noMultiLvlLbl val="0"/>
      </c:catAx>
      <c:valAx>
        <c:axId val="3021296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136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2264704"/>
        <c:axId val="302269408"/>
      </c:lineChart>
      <c:catAx>
        <c:axId val="3022647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269408"/>
        <c:crosses val="autoZero"/>
        <c:auto val="1"/>
        <c:lblAlgn val="ctr"/>
        <c:lblOffset val="100"/>
        <c:noMultiLvlLbl val="0"/>
      </c:catAx>
      <c:valAx>
        <c:axId val="3022694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264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02269800"/>
        <c:axId val="302269016"/>
      </c:lineChart>
      <c:catAx>
        <c:axId val="302269800"/>
        <c:scaling>
          <c:orientation val="minMax"/>
        </c:scaling>
        <c:delete val="1"/>
        <c:axPos val="b"/>
        <c:majorTickMark val="none"/>
        <c:minorTickMark val="none"/>
        <c:tickLblPos val="nextTo"/>
        <c:crossAx val="302269016"/>
        <c:crosses val="autoZero"/>
        <c:auto val="1"/>
        <c:lblAlgn val="ctr"/>
        <c:lblOffset val="100"/>
        <c:noMultiLvlLbl val="0"/>
      </c:catAx>
      <c:valAx>
        <c:axId val="302269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02269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302261960"/>
        <c:axId val="302270584"/>
      </c:lineChart>
      <c:catAx>
        <c:axId val="302261960"/>
        <c:scaling>
          <c:orientation val="minMax"/>
        </c:scaling>
        <c:delete val="1"/>
        <c:axPos val="b"/>
        <c:majorTickMark val="none"/>
        <c:minorTickMark val="none"/>
        <c:tickLblPos val="nextTo"/>
        <c:crossAx val="302270584"/>
        <c:crosses val="autoZero"/>
        <c:auto val="1"/>
        <c:lblAlgn val="ctr"/>
        <c:lblOffset val="100"/>
        <c:noMultiLvlLbl val="0"/>
      </c:catAx>
      <c:valAx>
        <c:axId val="302270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02261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302266664"/>
        <c:axId val="302265096"/>
      </c:lineChart>
      <c:catAx>
        <c:axId val="302266664"/>
        <c:scaling>
          <c:orientation val="minMax"/>
        </c:scaling>
        <c:delete val="1"/>
        <c:axPos val="b"/>
        <c:majorTickMark val="none"/>
        <c:minorTickMark val="none"/>
        <c:tickLblPos val="nextTo"/>
        <c:crossAx val="302265096"/>
        <c:crosses val="autoZero"/>
        <c:auto val="1"/>
        <c:lblAlgn val="ctr"/>
        <c:lblOffset val="100"/>
        <c:noMultiLvlLbl val="0"/>
      </c:catAx>
      <c:valAx>
        <c:axId val="302265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02266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2268624"/>
        <c:axId val="302267056"/>
      </c:lineChart>
      <c:catAx>
        <c:axId val="3022686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267056"/>
        <c:crosses val="autoZero"/>
        <c:auto val="1"/>
        <c:lblAlgn val="ctr"/>
        <c:lblOffset val="100"/>
        <c:noMultiLvlLbl val="0"/>
      </c:catAx>
      <c:valAx>
        <c:axId val="3022670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268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2267840"/>
        <c:axId val="302268232"/>
      </c:lineChart>
      <c:catAx>
        <c:axId val="3022678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268232"/>
        <c:crosses val="autoZero"/>
        <c:auto val="1"/>
        <c:lblAlgn val="ctr"/>
        <c:lblOffset val="100"/>
        <c:noMultiLvlLbl val="0"/>
      </c:catAx>
      <c:valAx>
        <c:axId val="3022682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267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2270976"/>
        <c:axId val="302270192"/>
      </c:lineChart>
      <c:catAx>
        <c:axId val="3022709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270192"/>
        <c:crosses val="autoZero"/>
        <c:auto val="1"/>
        <c:lblAlgn val="ctr"/>
        <c:lblOffset val="100"/>
        <c:noMultiLvlLbl val="0"/>
      </c:catAx>
      <c:valAx>
        <c:axId val="3022701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270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2260392"/>
        <c:axId val="302261176"/>
      </c:lineChart>
      <c:catAx>
        <c:axId val="3022603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261176"/>
        <c:crosses val="autoZero"/>
        <c:auto val="1"/>
        <c:lblAlgn val="ctr"/>
        <c:lblOffset val="100"/>
        <c:noMultiLvlLbl val="0"/>
      </c:catAx>
      <c:valAx>
        <c:axId val="30226117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260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2262352"/>
        <c:axId val="302262744"/>
      </c:lineChart>
      <c:catAx>
        <c:axId val="3022623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262744"/>
        <c:crosses val="autoZero"/>
        <c:auto val="1"/>
        <c:lblAlgn val="ctr"/>
        <c:lblOffset val="100"/>
        <c:noMultiLvlLbl val="0"/>
      </c:catAx>
      <c:valAx>
        <c:axId val="3022627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2623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2263528"/>
        <c:axId val="302264312"/>
      </c:lineChart>
      <c:catAx>
        <c:axId val="302263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264312"/>
        <c:crosses val="autoZero"/>
        <c:auto val="1"/>
        <c:lblAlgn val="ctr"/>
        <c:lblOffset val="100"/>
        <c:noMultiLvlLbl val="0"/>
      </c:catAx>
      <c:valAx>
        <c:axId val="3022643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263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2266272"/>
        <c:axId val="302274504"/>
      </c:lineChart>
      <c:catAx>
        <c:axId val="3022662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274504"/>
        <c:crosses val="autoZero"/>
        <c:auto val="1"/>
        <c:lblAlgn val="ctr"/>
        <c:lblOffset val="100"/>
        <c:noMultiLvlLbl val="0"/>
      </c:catAx>
      <c:valAx>
        <c:axId val="3022745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2662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2276072"/>
        <c:axId val="302275680"/>
      </c:lineChart>
      <c:catAx>
        <c:axId val="3022760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275680"/>
        <c:crosses val="autoZero"/>
        <c:auto val="1"/>
        <c:lblAlgn val="ctr"/>
        <c:lblOffset val="100"/>
        <c:noMultiLvlLbl val="0"/>
      </c:catAx>
      <c:valAx>
        <c:axId val="3022756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276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2273328"/>
        <c:axId val="302273720"/>
      </c:lineChart>
      <c:catAx>
        <c:axId val="3022733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273720"/>
        <c:crosses val="autoZero"/>
        <c:auto val="1"/>
        <c:lblAlgn val="ctr"/>
        <c:lblOffset val="100"/>
        <c:noMultiLvlLbl val="0"/>
      </c:catAx>
      <c:valAx>
        <c:axId val="3022737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273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2274112"/>
        <c:axId val="304109760"/>
      </c:lineChart>
      <c:catAx>
        <c:axId val="3022741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4109760"/>
        <c:crosses val="autoZero"/>
        <c:auto val="1"/>
        <c:lblAlgn val="ctr"/>
        <c:lblOffset val="100"/>
        <c:noMultiLvlLbl val="0"/>
      </c:catAx>
      <c:valAx>
        <c:axId val="3041097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2274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4104664"/>
        <c:axId val="304099568"/>
      </c:lineChart>
      <c:catAx>
        <c:axId val="3041046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4099568"/>
        <c:crosses val="autoZero"/>
        <c:auto val="1"/>
        <c:lblAlgn val="ctr"/>
        <c:lblOffset val="100"/>
        <c:noMultiLvlLbl val="0"/>
      </c:catAx>
      <c:valAx>
        <c:axId val="3040995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4104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04110152"/>
        <c:axId val="304109368"/>
      </c:lineChart>
      <c:catAx>
        <c:axId val="3041101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4109368"/>
        <c:crosses val="autoZero"/>
        <c:auto val="1"/>
        <c:lblAlgn val="ctr"/>
        <c:lblOffset val="100"/>
        <c:noMultiLvlLbl val="0"/>
      </c:catAx>
      <c:valAx>
        <c:axId val="3041093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4110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04105056"/>
        <c:axId val="304102312"/>
      </c:lineChart>
      <c:catAx>
        <c:axId val="304105056"/>
        <c:scaling>
          <c:orientation val="minMax"/>
        </c:scaling>
        <c:delete val="1"/>
        <c:axPos val="b"/>
        <c:majorTickMark val="none"/>
        <c:minorTickMark val="none"/>
        <c:tickLblPos val="nextTo"/>
        <c:crossAx val="304102312"/>
        <c:crosses val="autoZero"/>
        <c:auto val="1"/>
        <c:lblAlgn val="ctr"/>
        <c:lblOffset val="100"/>
        <c:noMultiLvlLbl val="0"/>
      </c:catAx>
      <c:valAx>
        <c:axId val="304102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04105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3.xml"/><Relationship Id="rId13" Type="http://schemas.openxmlformats.org/officeDocument/2006/relationships/chart" Target="../charts/chart28.xml"/><Relationship Id="rId3" Type="http://schemas.openxmlformats.org/officeDocument/2006/relationships/chart" Target="../charts/chart18.xml"/><Relationship Id="rId7" Type="http://schemas.openxmlformats.org/officeDocument/2006/relationships/chart" Target="../charts/chart22.xml"/><Relationship Id="rId12" Type="http://schemas.openxmlformats.org/officeDocument/2006/relationships/chart" Target="../charts/chart27.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11" Type="http://schemas.openxmlformats.org/officeDocument/2006/relationships/chart" Target="../charts/chart26.xml"/><Relationship Id="rId5" Type="http://schemas.openxmlformats.org/officeDocument/2006/relationships/chart" Target="../charts/chart20.xml"/><Relationship Id="rId15" Type="http://schemas.openxmlformats.org/officeDocument/2006/relationships/chart" Target="../charts/chart30.xml"/><Relationship Id="rId10" Type="http://schemas.openxmlformats.org/officeDocument/2006/relationships/chart" Target="../charts/chart25.xml"/><Relationship Id="rId4" Type="http://schemas.openxmlformats.org/officeDocument/2006/relationships/chart" Target="../charts/chart19.xml"/><Relationship Id="rId9" Type="http://schemas.openxmlformats.org/officeDocument/2006/relationships/chart" Target="../charts/chart24.xml"/><Relationship Id="rId14" Type="http://schemas.openxmlformats.org/officeDocument/2006/relationships/chart" Target="../charts/chart29.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8.xml"/><Relationship Id="rId13" Type="http://schemas.openxmlformats.org/officeDocument/2006/relationships/chart" Target="../charts/chart43.xml"/><Relationship Id="rId3" Type="http://schemas.openxmlformats.org/officeDocument/2006/relationships/chart" Target="../charts/chart33.xml"/><Relationship Id="rId7" Type="http://schemas.openxmlformats.org/officeDocument/2006/relationships/chart" Target="../charts/chart37.xml"/><Relationship Id="rId12" Type="http://schemas.openxmlformats.org/officeDocument/2006/relationships/chart" Target="../charts/chart42.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11" Type="http://schemas.openxmlformats.org/officeDocument/2006/relationships/chart" Target="../charts/chart41.xml"/><Relationship Id="rId5" Type="http://schemas.openxmlformats.org/officeDocument/2006/relationships/chart" Target="../charts/chart35.xml"/><Relationship Id="rId15" Type="http://schemas.openxmlformats.org/officeDocument/2006/relationships/chart" Target="../charts/chart45.xml"/><Relationship Id="rId10" Type="http://schemas.openxmlformats.org/officeDocument/2006/relationships/chart" Target="../charts/chart40.xml"/><Relationship Id="rId4" Type="http://schemas.openxmlformats.org/officeDocument/2006/relationships/chart" Target="../charts/chart34.xml"/><Relationship Id="rId9" Type="http://schemas.openxmlformats.org/officeDocument/2006/relationships/chart" Target="../charts/chart39.xml"/><Relationship Id="rId14" Type="http://schemas.openxmlformats.org/officeDocument/2006/relationships/chart" Target="../charts/chart4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1</xdr:row>
          <xdr:rowOff>0</xdr:rowOff>
        </xdr:from>
        <xdr:to>
          <xdr:col>14</xdr:col>
          <xdr:colOff>708660</xdr:colOff>
          <xdr:row>4</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IMPRIMER LE RAPPORT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175260</xdr:colOff>
      <xdr:row>4</xdr:row>
      <xdr:rowOff>91440</xdr:rowOff>
    </xdr:from>
    <xdr:to>
      <xdr:col>1</xdr:col>
      <xdr:colOff>175260</xdr:colOff>
      <xdr:row>5</xdr:row>
      <xdr:rowOff>106680</xdr:rowOff>
    </xdr:to>
    <xdr:sp macro="" textlink="">
      <xdr:nvSpPr>
        <xdr:cNvPr id="9260" name="AutoShape 44"/>
        <xdr:cNvSpPr>
          <a:spLocks noChangeShapeType="1"/>
        </xdr:cNvSpPr>
      </xdr:nvSpPr>
      <xdr:spPr bwMode="auto">
        <a:xfrm flipV="1">
          <a:off x="655320" y="73914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6</xdr:row>
      <xdr:rowOff>99060</xdr:rowOff>
    </xdr:from>
    <xdr:to>
      <xdr:col>1</xdr:col>
      <xdr:colOff>243840</xdr:colOff>
      <xdr:row>7</xdr:row>
      <xdr:rowOff>76200</xdr:rowOff>
    </xdr:to>
    <xdr:grpSp>
      <xdr:nvGrpSpPr>
        <xdr:cNvPr id="9256" name="Group 40"/>
        <xdr:cNvGrpSpPr>
          <a:grpSpLocks noChangeAspect="1"/>
        </xdr:cNvGrpSpPr>
      </xdr:nvGrpSpPr>
      <xdr:grpSpPr bwMode="auto">
        <a:xfrm>
          <a:off x="571500" y="1013460"/>
          <a:ext cx="152400" cy="152400"/>
          <a:chOff x="11144" y="1403"/>
          <a:chExt cx="225" cy="225"/>
        </a:xfrm>
      </xdr:grpSpPr>
      <xdr:sp macro="" textlink="">
        <xdr:nvSpPr>
          <xdr:cNvPr id="9259" name="Oval 43"/>
          <xdr:cNvSpPr>
            <a:spLocks noChangeAspect="1" noChangeArrowheads="1"/>
          </xdr:cNvSpPr>
        </xdr:nvSpPr>
        <xdr:spPr bwMode="auto">
          <a:xfrm>
            <a:off x="11144" y="1403"/>
            <a:ext cx="225" cy="225"/>
          </a:xfrm>
          <a:prstGeom prst="ellipse">
            <a:avLst/>
          </a:prstGeom>
          <a:solidFill>
            <a:srgbClr val="FFFFFF"/>
          </a:solidFill>
          <a:ln w="19050">
            <a:solidFill>
              <a:srgbClr val="000000"/>
            </a:solidFill>
            <a:round/>
            <a:headEnd/>
            <a:tailEnd/>
          </a:ln>
        </xdr:spPr>
      </xdr:sp>
      <xdr:sp macro="" textlink="">
        <xdr:nvSpPr>
          <xdr:cNvPr id="9258" name="AutoShape 42"/>
          <xdr:cNvSpPr>
            <a:spLocks noChangeAspect="1" noChangeShapeType="1"/>
          </xdr:cNvSpPr>
        </xdr:nvSpPr>
        <xdr:spPr bwMode="auto">
          <a:xfrm flipV="1">
            <a:off x="11180" y="1519"/>
            <a:ext cx="147" cy="2"/>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7" name="AutoShape 41"/>
          <xdr:cNvSpPr>
            <a:spLocks noChangeAspect="1" noChangeShapeType="1"/>
          </xdr:cNvSpPr>
        </xdr:nvSpPr>
        <xdr:spPr bwMode="auto">
          <a:xfrm flipH="1">
            <a:off x="11254" y="1435"/>
            <a:ext cx="1" cy="159"/>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8</xdr:row>
      <xdr:rowOff>106680</xdr:rowOff>
    </xdr:from>
    <xdr:to>
      <xdr:col>1</xdr:col>
      <xdr:colOff>259080</xdr:colOff>
      <xdr:row>8</xdr:row>
      <xdr:rowOff>106680</xdr:rowOff>
    </xdr:to>
    <xdr:sp macro="" textlink="">
      <xdr:nvSpPr>
        <xdr:cNvPr id="9255" name="AutoShape 39"/>
        <xdr:cNvSpPr>
          <a:spLocks noChangeShapeType="1"/>
        </xdr:cNvSpPr>
      </xdr:nvSpPr>
      <xdr:spPr bwMode="auto">
        <a:xfrm flipH="1">
          <a:off x="548640" y="1455420"/>
          <a:ext cx="190500" cy="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60960</xdr:colOff>
      <xdr:row>9</xdr:row>
      <xdr:rowOff>106680</xdr:rowOff>
    </xdr:from>
    <xdr:to>
      <xdr:col>1</xdr:col>
      <xdr:colOff>289560</xdr:colOff>
      <xdr:row>9</xdr:row>
      <xdr:rowOff>106680</xdr:rowOff>
    </xdr:to>
    <xdr:sp macro="" textlink="">
      <xdr:nvSpPr>
        <xdr:cNvPr id="9254" name="AutoShape 38"/>
        <xdr:cNvSpPr>
          <a:spLocks noChangeShapeType="1"/>
        </xdr:cNvSpPr>
      </xdr:nvSpPr>
      <xdr:spPr bwMode="auto">
        <a:xfrm flipH="1">
          <a:off x="541020" y="1546860"/>
          <a:ext cx="228600" cy="0"/>
        </a:xfrm>
        <a:prstGeom prst="straightConnector1">
          <a:avLst/>
        </a:prstGeom>
        <a:noFill/>
        <a:ln w="2857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10</xdr:row>
      <xdr:rowOff>106680</xdr:rowOff>
    </xdr:from>
    <xdr:to>
      <xdr:col>1</xdr:col>
      <xdr:colOff>259080</xdr:colOff>
      <xdr:row>10</xdr:row>
      <xdr:rowOff>289560</xdr:rowOff>
    </xdr:to>
    <xdr:grpSp>
      <xdr:nvGrpSpPr>
        <xdr:cNvPr id="9250" name="Group 34"/>
        <xdr:cNvGrpSpPr>
          <a:grpSpLocks/>
        </xdr:cNvGrpSpPr>
      </xdr:nvGrpSpPr>
      <xdr:grpSpPr bwMode="auto">
        <a:xfrm>
          <a:off x="571500" y="1729740"/>
          <a:ext cx="167640" cy="182880"/>
          <a:chOff x="2230" y="12069"/>
          <a:chExt cx="297" cy="294"/>
        </a:xfrm>
      </xdr:grpSpPr>
      <xdr:sp macro="" textlink="">
        <xdr:nvSpPr>
          <xdr:cNvPr id="9253" name="AutoShape 37"/>
          <xdr:cNvSpPr>
            <a:spLocks noChangeShapeType="1"/>
          </xdr:cNvSpPr>
        </xdr:nvSpPr>
        <xdr:spPr bwMode="auto">
          <a:xfrm flipV="1">
            <a:off x="2370" y="12074"/>
            <a:ext cx="1" cy="289"/>
          </a:xfrm>
          <a:prstGeom prst="straightConnector1">
            <a:avLst/>
          </a:prstGeom>
          <a:noFill/>
          <a:ln w="19050">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9252" name="AutoShape 36"/>
          <xdr:cNvSpPr>
            <a:spLocks noChangeShapeType="1"/>
          </xdr:cNvSpPr>
        </xdr:nvSpPr>
        <xdr:spPr bwMode="auto">
          <a:xfrm>
            <a:off x="2230" y="12069"/>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1" name="AutoShape 35"/>
          <xdr:cNvSpPr>
            <a:spLocks noChangeShapeType="1"/>
          </xdr:cNvSpPr>
        </xdr:nvSpPr>
        <xdr:spPr bwMode="auto">
          <a:xfrm>
            <a:off x="2241" y="12363"/>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11</xdr:row>
      <xdr:rowOff>91440</xdr:rowOff>
    </xdr:from>
    <xdr:to>
      <xdr:col>1</xdr:col>
      <xdr:colOff>251460</xdr:colOff>
      <xdr:row>11</xdr:row>
      <xdr:rowOff>274320</xdr:rowOff>
    </xdr:to>
    <xdr:sp macro="" textlink="">
      <xdr:nvSpPr>
        <xdr:cNvPr id="9249" name="AutoShape 33"/>
        <xdr:cNvSpPr>
          <a:spLocks noChangeArrowheads="1"/>
        </xdr:cNvSpPr>
      </xdr:nvSpPr>
      <xdr:spPr bwMode="auto">
        <a:xfrm>
          <a:off x="548640" y="211836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1</xdr:col>
      <xdr:colOff>76200</xdr:colOff>
      <xdr:row>12</xdr:row>
      <xdr:rowOff>83820</xdr:rowOff>
    </xdr:from>
    <xdr:to>
      <xdr:col>1</xdr:col>
      <xdr:colOff>274320</xdr:colOff>
      <xdr:row>12</xdr:row>
      <xdr:rowOff>274320</xdr:rowOff>
    </xdr:to>
    <xdr:sp macro="" textlink="">
      <xdr:nvSpPr>
        <xdr:cNvPr id="9248" name="Freeform 32"/>
        <xdr:cNvSpPr>
          <a:spLocks noChangeAspect="1"/>
        </xdr:cNvSpPr>
      </xdr:nvSpPr>
      <xdr:spPr bwMode="auto">
        <a:xfrm>
          <a:off x="556260" y="2438400"/>
          <a:ext cx="198120" cy="19050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00"/>
        </a:solidFill>
        <a:ln w="9525">
          <a:solidFill>
            <a:srgbClr val="000000"/>
          </a:solidFill>
          <a:round/>
          <a:headEnd/>
          <a:tailEnd/>
        </a:ln>
      </xdr:spPr>
    </xdr:sp>
    <xdr:clientData/>
  </xdr:twoCellAnchor>
  <xdr:twoCellAnchor>
    <xdr:from>
      <xdr:col>1</xdr:col>
      <xdr:colOff>83820</xdr:colOff>
      <xdr:row>12</xdr:row>
      <xdr:rowOff>297180</xdr:rowOff>
    </xdr:from>
    <xdr:to>
      <xdr:col>1</xdr:col>
      <xdr:colOff>236220</xdr:colOff>
      <xdr:row>13</xdr:row>
      <xdr:rowOff>304800</xdr:rowOff>
    </xdr:to>
    <xdr:sp macro="" textlink="">
      <xdr:nvSpPr>
        <xdr:cNvPr id="9247" name="Text Box 31"/>
        <xdr:cNvSpPr txBox="1">
          <a:spLocks noChangeArrowheads="1"/>
        </xdr:cNvSpPr>
      </xdr:nvSpPr>
      <xdr:spPr bwMode="auto">
        <a:xfrm>
          <a:off x="563880" y="2651760"/>
          <a:ext cx="152400" cy="3352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fr-FR" sz="2000" b="1" i="0" u="none" strike="noStrike" baseline="0">
              <a:solidFill>
                <a:srgbClr val="000000"/>
              </a:solidFill>
              <a:latin typeface="Arial Black"/>
            </a:rPr>
            <a:t>?</a:t>
          </a:r>
        </a:p>
      </xdr:txBody>
    </xdr:sp>
    <xdr:clientData/>
  </xdr:twoCellAnchor>
  <xdr:twoCellAnchor>
    <xdr:from>
      <xdr:col>1</xdr:col>
      <xdr:colOff>45720</xdr:colOff>
      <xdr:row>14</xdr:row>
      <xdr:rowOff>45720</xdr:rowOff>
    </xdr:from>
    <xdr:to>
      <xdr:col>1</xdr:col>
      <xdr:colOff>289560</xdr:colOff>
      <xdr:row>14</xdr:row>
      <xdr:rowOff>236220</xdr:rowOff>
    </xdr:to>
    <xdr:sp macro="" textlink="">
      <xdr:nvSpPr>
        <xdr:cNvPr id="9246" name="Oval 30"/>
        <xdr:cNvSpPr>
          <a:spLocks noChangeArrowheads="1"/>
        </xdr:cNvSpPr>
      </xdr:nvSpPr>
      <xdr:spPr bwMode="auto">
        <a:xfrm>
          <a:off x="525780" y="3307080"/>
          <a:ext cx="243840" cy="190500"/>
        </a:xfrm>
        <a:prstGeom prst="ellipse">
          <a:avLst/>
        </a:prstGeom>
        <a:solidFill>
          <a:srgbClr val="FFFFFF"/>
        </a:solidFill>
        <a:ln w="19050">
          <a:solidFill>
            <a:srgbClr val="000000"/>
          </a:solidFill>
          <a:round/>
          <a:headEnd/>
          <a:tailEnd/>
        </a:ln>
      </xdr:spPr>
    </xdr:sp>
    <xdr:clientData/>
  </xdr:twoCellAnchor>
  <xdr:twoCellAnchor>
    <xdr:from>
      <xdr:col>4</xdr:col>
      <xdr:colOff>182880</xdr:colOff>
      <xdr:row>4</xdr:row>
      <xdr:rowOff>99060</xdr:rowOff>
    </xdr:from>
    <xdr:to>
      <xdr:col>4</xdr:col>
      <xdr:colOff>182880</xdr:colOff>
      <xdr:row>5</xdr:row>
      <xdr:rowOff>114300</xdr:rowOff>
    </xdr:to>
    <xdr:sp macro="" textlink="">
      <xdr:nvSpPr>
        <xdr:cNvPr id="9275" name="AutoShape 59"/>
        <xdr:cNvSpPr>
          <a:spLocks noChangeShapeType="1"/>
        </xdr:cNvSpPr>
      </xdr:nvSpPr>
      <xdr:spPr bwMode="auto">
        <a:xfrm>
          <a:off x="2537460" y="74676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114300</xdr:colOff>
      <xdr:row>6</xdr:row>
      <xdr:rowOff>106680</xdr:rowOff>
    </xdr:from>
    <xdr:to>
      <xdr:col>4</xdr:col>
      <xdr:colOff>254726</xdr:colOff>
      <xdr:row>7</xdr:row>
      <xdr:rowOff>68580</xdr:rowOff>
    </xdr:to>
    <xdr:grpSp>
      <xdr:nvGrpSpPr>
        <xdr:cNvPr id="174" name="Group 50"/>
        <xdr:cNvGrpSpPr>
          <a:grpSpLocks/>
        </xdr:cNvGrpSpPr>
      </xdr:nvGrpSpPr>
      <xdr:grpSpPr bwMode="auto">
        <a:xfrm>
          <a:off x="2468880" y="1021080"/>
          <a:ext cx="140426" cy="137160"/>
          <a:chOff x="547" y="1763"/>
          <a:chExt cx="225" cy="225"/>
        </a:xfrm>
      </xdr:grpSpPr>
      <xdr:sp macro="" textlink="">
        <xdr:nvSpPr>
          <xdr:cNvPr id="175" name="Oval 51"/>
          <xdr:cNvSpPr>
            <a:spLocks noChangeArrowheads="1"/>
          </xdr:cNvSpPr>
        </xdr:nvSpPr>
        <xdr:spPr bwMode="auto">
          <a:xfrm>
            <a:off x="547" y="1763"/>
            <a:ext cx="225" cy="225"/>
          </a:xfrm>
          <a:prstGeom prst="ellipse">
            <a:avLst/>
          </a:prstGeom>
          <a:solidFill>
            <a:srgbClr val="FFFFFF"/>
          </a:solidFill>
          <a:ln w="19050">
            <a:solidFill>
              <a:sysClr val="windowText" lastClr="000000"/>
            </a:solidFill>
            <a:round/>
            <a:headEnd/>
            <a:tailEnd/>
          </a:ln>
        </xdr:spPr>
      </xdr:sp>
      <xdr:cxnSp macro="">
        <xdr:nvCxnSpPr>
          <xdr:cNvPr id="176" name="AutoShape 52"/>
          <xdr:cNvCxnSpPr>
            <a:cxnSpLocks noChangeShapeType="1"/>
          </xdr:cNvCxnSpPr>
        </xdr:nvCxnSpPr>
        <xdr:spPr bwMode="auto">
          <a:xfrm flipV="1">
            <a:off x="592" y="1873"/>
            <a:ext cx="135" cy="2"/>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4</xdr:col>
      <xdr:colOff>76200</xdr:colOff>
      <xdr:row>8</xdr:row>
      <xdr:rowOff>99060</xdr:rowOff>
    </xdr:from>
    <xdr:to>
      <xdr:col>4</xdr:col>
      <xdr:colOff>281940</xdr:colOff>
      <xdr:row>8</xdr:row>
      <xdr:rowOff>99060</xdr:rowOff>
    </xdr:to>
    <xdr:cxnSp macro="">
      <xdr:nvCxnSpPr>
        <xdr:cNvPr id="177" name="AutoShape 68"/>
        <xdr:cNvCxnSpPr>
          <a:cxnSpLocks noChangeShapeType="1"/>
        </xdr:cNvCxnSpPr>
      </xdr:nvCxnSpPr>
      <xdr:spPr bwMode="auto">
        <a:xfrm rot="5400000" flipV="1">
          <a:off x="2533650" y="1344930"/>
          <a:ext cx="0" cy="205740"/>
        </a:xfrm>
        <a:prstGeom prst="straightConnector1">
          <a:avLst/>
        </a:prstGeom>
        <a:noFill/>
        <a:ln w="28575">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83820</xdr:colOff>
      <xdr:row>10</xdr:row>
      <xdr:rowOff>60960</xdr:rowOff>
    </xdr:from>
    <xdr:to>
      <xdr:col>4</xdr:col>
      <xdr:colOff>266700</xdr:colOff>
      <xdr:row>10</xdr:row>
      <xdr:rowOff>320626</xdr:rowOff>
    </xdr:to>
    <xdr:grpSp>
      <xdr:nvGrpSpPr>
        <xdr:cNvPr id="178" name="Group 18"/>
        <xdr:cNvGrpSpPr>
          <a:grpSpLocks/>
        </xdr:cNvGrpSpPr>
      </xdr:nvGrpSpPr>
      <xdr:grpSpPr bwMode="auto">
        <a:xfrm>
          <a:off x="2438400" y="1684020"/>
          <a:ext cx="182880" cy="259666"/>
          <a:chOff x="1860" y="11974"/>
          <a:chExt cx="286" cy="452"/>
        </a:xfrm>
      </xdr:grpSpPr>
      <xdr:cxnSp macro="">
        <xdr:nvCxnSpPr>
          <xdr:cNvPr id="179" name="AutoShape 19"/>
          <xdr:cNvCxnSpPr>
            <a:cxnSpLocks noChangeShapeType="1"/>
          </xdr:cNvCxnSpPr>
        </xdr:nvCxnSpPr>
        <xdr:spPr bwMode="auto">
          <a:xfrm>
            <a:off x="1860" y="1214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0" name="AutoShape 20"/>
          <xdr:cNvCxnSpPr>
            <a:cxnSpLocks noChangeShapeType="1"/>
          </xdr:cNvCxnSpPr>
        </xdr:nvCxnSpPr>
        <xdr:spPr bwMode="auto">
          <a:xfrm>
            <a:off x="1860" y="1226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1" name="AutoShape 21"/>
          <xdr:cNvCxnSpPr>
            <a:cxnSpLocks noChangeShapeType="1"/>
          </xdr:cNvCxnSpPr>
        </xdr:nvCxnSpPr>
        <xdr:spPr bwMode="auto">
          <a:xfrm>
            <a:off x="2003" y="11974"/>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xnSp macro="">
        <xdr:nvCxnSpPr>
          <xdr:cNvPr id="182" name="AutoShape 22"/>
          <xdr:cNvCxnSpPr>
            <a:cxnSpLocks noChangeShapeType="1"/>
          </xdr:cNvCxnSpPr>
        </xdr:nvCxnSpPr>
        <xdr:spPr bwMode="auto">
          <a:xfrm flipV="1">
            <a:off x="2003" y="12260"/>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grpSp>
    <xdr:clientData/>
  </xdr:twoCellAnchor>
  <xdr:twoCellAnchor>
    <xdr:from>
      <xdr:col>4</xdr:col>
      <xdr:colOff>68580</xdr:colOff>
      <xdr:row>11</xdr:row>
      <xdr:rowOff>83820</xdr:rowOff>
    </xdr:from>
    <xdr:to>
      <xdr:col>4</xdr:col>
      <xdr:colOff>251460</xdr:colOff>
      <xdr:row>11</xdr:row>
      <xdr:rowOff>266700</xdr:rowOff>
    </xdr:to>
    <xdr:sp macro="" textlink="">
      <xdr:nvSpPr>
        <xdr:cNvPr id="184" name="AutoShape 33"/>
        <xdr:cNvSpPr>
          <a:spLocks noChangeArrowheads="1"/>
        </xdr:cNvSpPr>
      </xdr:nvSpPr>
      <xdr:spPr bwMode="auto">
        <a:xfrm flipH="1">
          <a:off x="2423160" y="211074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4</xdr:col>
      <xdr:colOff>22860</xdr:colOff>
      <xdr:row>9</xdr:row>
      <xdr:rowOff>106680</xdr:rowOff>
    </xdr:from>
    <xdr:to>
      <xdr:col>4</xdr:col>
      <xdr:colOff>319261</xdr:colOff>
      <xdr:row>9</xdr:row>
      <xdr:rowOff>106680</xdr:rowOff>
    </xdr:to>
    <xdr:grpSp>
      <xdr:nvGrpSpPr>
        <xdr:cNvPr id="185" name="Groupe 184"/>
        <xdr:cNvGrpSpPr/>
      </xdr:nvGrpSpPr>
      <xdr:grpSpPr>
        <a:xfrm>
          <a:off x="2377440" y="1546860"/>
          <a:ext cx="296401" cy="0"/>
          <a:chOff x="8292353" y="5235388"/>
          <a:chExt cx="296401" cy="0"/>
        </a:xfrm>
      </xdr:grpSpPr>
      <xdr:cxnSp macro="">
        <xdr:nvCxnSpPr>
          <xdr:cNvPr id="186" name="Connecteur droit avec flèche 185"/>
          <xdr:cNvCxnSpPr/>
        </xdr:nvCxnSpPr>
        <xdr:spPr>
          <a:xfrm>
            <a:off x="8292353"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7" name="Connecteur droit avec flèche 186"/>
          <xdr:cNvCxnSpPr/>
        </xdr:nvCxnSpPr>
        <xdr:spPr>
          <a:xfrm flipH="1">
            <a:off x="8444754"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7" name="Graphique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9" name="ZoneTexte 18"/>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20" name="ZoneTexte 19"/>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21" name="ZoneTexte 20"/>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2" name="ZoneTexte 21"/>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3" name="ZoneTexte 22"/>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4" name="ZoneTexte 23"/>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5" name="ZoneTexte 24"/>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6" name="ZoneTexte 25"/>
        <xdr:cNvSpPr txBox="1"/>
      </xdr:nvSpPr>
      <xdr:spPr>
        <a:xfrm>
          <a:off x="6140824" y="1541929"/>
          <a:ext cx="111369" cy="19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7" name="ZoneTexte 26"/>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8" name="ZoneTexte 27"/>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9" name="ZoneTexte 28"/>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30" name="ZoneTexte 29"/>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31" name="ZoneTexte 30"/>
        <xdr:cNvSpPr txBox="1"/>
      </xdr:nvSpPr>
      <xdr:spPr>
        <a:xfrm>
          <a:off x="6140824"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2" name="ZoneTexte 31"/>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3" name="ZoneTexte 32"/>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4" name="ZoneTexte 33"/>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5" name="ZoneTexte 34"/>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6" name="ZoneTexte 35"/>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7" name="ZoneTexte 36"/>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9" name="ZoneTexte 38"/>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40" name="ZoneTexte 39"/>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41" name="ZoneTexte 40"/>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42" name="ZoneTexte 41"/>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3" name="ZoneTexte 42"/>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4" name="ZoneTexte 43"/>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5" name="ZoneTexte 44"/>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6" name="ZoneTexte 45"/>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7" name="ZoneTexte 46"/>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8" name="ZoneTexte 47"/>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9" name="ZoneTexte 48"/>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50" name="ZoneTexte 49"/>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51" name="ZoneTexte 50"/>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52" name="ZoneTexte 51"/>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3" name="ZoneTexte 52"/>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4" name="ZoneTexte 53"/>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5" name="ZoneTexte 54"/>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6" name="ZoneTexte 55"/>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7" name="ZoneTexte 56"/>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8" name="ZoneTexte 57"/>
        <xdr:cNvSpPr txBox="1"/>
      </xdr:nvSpPr>
      <xdr:spPr>
        <a:xfrm>
          <a:off x="6142892" y="2409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9" name="ZoneTexte 58"/>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60" name="ZoneTexte 59"/>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61" name="ZoneTexte 60"/>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62" name="ZoneTexte 61"/>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3" name="ZoneTexte 62"/>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4" name="ZoneTexte 63"/>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5" name="ZoneTexte 64"/>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6" name="ZoneTexte 65"/>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7" name="ZoneTexte 66"/>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8" name="ZoneTexte 67"/>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9" name="ZoneTexte 68"/>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70" name="ZoneTexte 69"/>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71" name="ZoneTexte 70"/>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72" name="ZoneTexte 71"/>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3" name="ZoneTexte 72"/>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4" name="ZoneTexte 73"/>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5" name="ZoneTexte 74"/>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6" name="ZoneTexte 75"/>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7" name="ZoneTexte 76"/>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8" name="ZoneTexte 77"/>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9" name="ZoneTexte 78"/>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80" name="ZoneTexte 79"/>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81" name="ZoneTexte 80"/>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82" name="ZoneTexte 81"/>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3" name="ZoneTexte 82"/>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4" name="ZoneTexte 83"/>
        <xdr:cNvSpPr txBox="1"/>
      </xdr:nvSpPr>
      <xdr:spPr>
        <a:xfrm>
          <a:off x="6929718"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5" name="ZoneTexte 84"/>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6" name="ZoneTexte 85"/>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7" name="ZoneTexte 86"/>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8" name="ZoneTexte 87"/>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9" name="ZoneTexte 88"/>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90" name="ZoneTexte 89"/>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91" name="ZoneTexte 90"/>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92" name="ZoneTexte 91"/>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3" name="ZoneTexte 92"/>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4" name="ZoneTexte 93"/>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5" name="ZoneTexte 94"/>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6" name="ZoneTexte 95"/>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7" name="ZoneTexte 96"/>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1025" name="Group 1"/>
        <xdr:cNvGrpSpPr>
          <a:grpSpLocks/>
        </xdr:cNvGrpSpPr>
      </xdr:nvGrpSpPr>
      <xdr:grpSpPr bwMode="auto">
        <a:xfrm>
          <a:off x="6569026" y="4906694"/>
          <a:ext cx="190500" cy="190500"/>
          <a:chOff x="2230" y="12069"/>
          <a:chExt cx="297" cy="294"/>
        </a:xfrm>
      </xdr:grpSpPr>
      <xdr:cxnSp macro="">
        <xdr:nvCxnSpPr>
          <xdr:cNvPr id="102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2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2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1029" name="Group 5"/>
        <xdr:cNvGrpSpPr>
          <a:grpSpLocks/>
        </xdr:cNvGrpSpPr>
      </xdr:nvGrpSpPr>
      <xdr:grpSpPr bwMode="auto">
        <a:xfrm>
          <a:off x="6200335" y="4909625"/>
          <a:ext cx="190500" cy="190499"/>
          <a:chOff x="2230" y="12069"/>
          <a:chExt cx="297" cy="294"/>
        </a:xfrm>
      </xdr:grpSpPr>
      <xdr:cxnSp macro="">
        <xdr:nvCxnSpPr>
          <xdr:cNvPr id="103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3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3" name="Group 9"/>
        <xdr:cNvGrpSpPr>
          <a:grpSpLocks/>
        </xdr:cNvGrpSpPr>
      </xdr:nvGrpSpPr>
      <xdr:grpSpPr bwMode="auto">
        <a:xfrm>
          <a:off x="6936544" y="4914315"/>
          <a:ext cx="190500" cy="182879"/>
          <a:chOff x="2230" y="12069"/>
          <a:chExt cx="297" cy="294"/>
        </a:xfrm>
      </xdr:grpSpPr>
      <xdr:cxnSp macro="">
        <xdr:nvCxnSpPr>
          <xdr:cNvPr id="103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3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37" name="Group 13"/>
        <xdr:cNvGrpSpPr>
          <a:grpSpLocks/>
        </xdr:cNvGrpSpPr>
      </xdr:nvGrpSpPr>
      <xdr:grpSpPr bwMode="auto">
        <a:xfrm>
          <a:off x="6568440" y="5219700"/>
          <a:ext cx="182880" cy="289560"/>
          <a:chOff x="1860" y="11974"/>
          <a:chExt cx="286" cy="452"/>
        </a:xfrm>
      </xdr:grpSpPr>
      <xdr:cxnSp macro="">
        <xdr:nvCxnSpPr>
          <xdr:cNvPr id="103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3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4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04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042" name="Group 18"/>
        <xdr:cNvGrpSpPr>
          <a:grpSpLocks/>
        </xdr:cNvGrpSpPr>
      </xdr:nvGrpSpPr>
      <xdr:grpSpPr bwMode="auto">
        <a:xfrm>
          <a:off x="6210886" y="5204460"/>
          <a:ext cx="182880" cy="290146"/>
          <a:chOff x="1860" y="11974"/>
          <a:chExt cx="286" cy="452"/>
        </a:xfrm>
      </xdr:grpSpPr>
      <xdr:cxnSp macro="">
        <xdr:nvCxnSpPr>
          <xdr:cNvPr id="104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04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047" name="Group 23"/>
        <xdr:cNvGrpSpPr>
          <a:grpSpLocks/>
        </xdr:cNvGrpSpPr>
      </xdr:nvGrpSpPr>
      <xdr:grpSpPr bwMode="auto">
        <a:xfrm>
          <a:off x="6954715" y="5220286"/>
          <a:ext cx="182880" cy="290146"/>
          <a:chOff x="1860" y="11974"/>
          <a:chExt cx="286" cy="452"/>
        </a:xfrm>
      </xdr:grpSpPr>
      <xdr:cxnSp macro="">
        <xdr:nvCxnSpPr>
          <xdr:cNvPr id="104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4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5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05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35" name="ZoneTexte 134"/>
        <xdr:cNvSpPr txBox="1"/>
      </xdr:nvSpPr>
      <xdr:spPr>
        <a:xfrm>
          <a:off x="621909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36" name="ZoneTexte 135"/>
        <xdr:cNvSpPr txBox="1"/>
      </xdr:nvSpPr>
      <xdr:spPr>
        <a:xfrm>
          <a:off x="6617684"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37" name="ZoneTexte 136"/>
        <xdr:cNvSpPr txBox="1"/>
      </xdr:nvSpPr>
      <xdr:spPr>
        <a:xfrm>
          <a:off x="701626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062" name="Freeform 38"/>
        <xdr:cNvSpPr>
          <a:spLocks/>
        </xdr:cNvSpPr>
      </xdr:nvSpPr>
      <xdr:spPr bwMode="auto">
        <a:xfrm>
          <a:off x="6993401" y="5863298"/>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063" name="Freeform 39"/>
        <xdr:cNvSpPr>
          <a:spLocks/>
        </xdr:cNvSpPr>
      </xdr:nvSpPr>
      <xdr:spPr bwMode="auto">
        <a:xfrm>
          <a:off x="6223196" y="5864468"/>
          <a:ext cx="213360" cy="183467"/>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064" name="Freeform 40"/>
        <xdr:cNvSpPr>
          <a:spLocks/>
        </xdr:cNvSpPr>
      </xdr:nvSpPr>
      <xdr:spPr bwMode="auto">
        <a:xfrm>
          <a:off x="6594231" y="5867400"/>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065" name="AutoShape 41"/>
        <xdr:cNvCxnSpPr>
          <a:cxnSpLocks noChangeShapeType="1"/>
        </xdr:cNvCxnSpPr>
      </xdr:nvCxnSpPr>
      <xdr:spPr bwMode="auto">
        <a:xfrm flipH="1">
          <a:off x="6986452" y="6147162"/>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066" name="AutoShape 42"/>
        <xdr:cNvCxnSpPr>
          <a:cxnSpLocks noChangeShapeType="1"/>
        </xdr:cNvCxnSpPr>
      </xdr:nvCxnSpPr>
      <xdr:spPr bwMode="auto">
        <a:xfrm flipH="1">
          <a:off x="6228806" y="6154783"/>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067" name="AutoShape 43"/>
        <xdr:cNvCxnSpPr>
          <a:cxnSpLocks noChangeShapeType="1"/>
        </xdr:cNvCxnSpPr>
      </xdr:nvCxnSpPr>
      <xdr:spPr bwMode="auto">
        <a:xfrm flipH="1">
          <a:off x="6606540" y="6138455"/>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068" name="Group 44"/>
        <xdr:cNvGrpSpPr>
          <a:grpSpLocks/>
        </xdr:cNvGrpSpPr>
      </xdr:nvGrpSpPr>
      <xdr:grpSpPr bwMode="auto">
        <a:xfrm>
          <a:off x="7051765" y="6523814"/>
          <a:ext cx="140426" cy="144781"/>
          <a:chOff x="547" y="1763"/>
          <a:chExt cx="225" cy="225"/>
        </a:xfrm>
      </xdr:grpSpPr>
      <xdr:sp macro="" textlink="">
        <xdr:nvSpPr>
          <xdr:cNvPr id="1069"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070"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071" name="Group 47"/>
        <xdr:cNvGrpSpPr>
          <a:grpSpLocks/>
        </xdr:cNvGrpSpPr>
      </xdr:nvGrpSpPr>
      <xdr:grpSpPr bwMode="auto">
        <a:xfrm>
          <a:off x="6263639" y="6518372"/>
          <a:ext cx="140426" cy="144780"/>
          <a:chOff x="547" y="1763"/>
          <a:chExt cx="225" cy="225"/>
        </a:xfrm>
      </xdr:grpSpPr>
      <xdr:sp macro="" textlink="">
        <xdr:nvSpPr>
          <xdr:cNvPr id="1072"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073"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074" name="Group 50"/>
        <xdr:cNvGrpSpPr>
          <a:grpSpLocks/>
        </xdr:cNvGrpSpPr>
      </xdr:nvGrpSpPr>
      <xdr:grpSpPr bwMode="auto">
        <a:xfrm>
          <a:off x="6667499" y="6512928"/>
          <a:ext cx="140426" cy="137160"/>
          <a:chOff x="547" y="1763"/>
          <a:chExt cx="225" cy="225"/>
        </a:xfrm>
      </xdr:grpSpPr>
      <xdr:sp macro="" textlink="">
        <xdr:nvSpPr>
          <xdr:cNvPr id="1075"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076"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077" name="Group 53"/>
        <xdr:cNvGrpSpPr>
          <a:grpSpLocks/>
        </xdr:cNvGrpSpPr>
      </xdr:nvGrpSpPr>
      <xdr:grpSpPr bwMode="auto">
        <a:xfrm>
          <a:off x="7058298" y="6798135"/>
          <a:ext cx="144780" cy="143691"/>
          <a:chOff x="554" y="1388"/>
          <a:chExt cx="225" cy="225"/>
        </a:xfrm>
      </xdr:grpSpPr>
      <xdr:sp macro="" textlink="">
        <xdr:nvSpPr>
          <xdr:cNvPr id="1078"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079"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80"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081" name="Group 57"/>
        <xdr:cNvGrpSpPr>
          <a:grpSpLocks/>
        </xdr:cNvGrpSpPr>
      </xdr:nvGrpSpPr>
      <xdr:grpSpPr bwMode="auto">
        <a:xfrm>
          <a:off x="6291943" y="6781807"/>
          <a:ext cx="137160" cy="143691"/>
          <a:chOff x="554" y="1388"/>
          <a:chExt cx="225" cy="225"/>
        </a:xfrm>
      </xdr:grpSpPr>
      <xdr:sp macro="" textlink="">
        <xdr:nvSpPr>
          <xdr:cNvPr id="1082"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083"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84"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085" name="Group 61"/>
        <xdr:cNvGrpSpPr>
          <a:grpSpLocks/>
        </xdr:cNvGrpSpPr>
      </xdr:nvGrpSpPr>
      <xdr:grpSpPr bwMode="auto">
        <a:xfrm>
          <a:off x="6652259" y="6753504"/>
          <a:ext cx="144780" cy="137160"/>
          <a:chOff x="554" y="1388"/>
          <a:chExt cx="225" cy="225"/>
        </a:xfrm>
      </xdr:grpSpPr>
      <xdr:sp macro="" textlink="">
        <xdr:nvSpPr>
          <xdr:cNvPr id="1086"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087"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88"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089" name="AutoShape 65"/>
        <xdr:cNvCxnSpPr>
          <a:cxnSpLocks noChangeShapeType="1"/>
        </xdr:cNvCxnSpPr>
      </xdr:nvCxnSpPr>
      <xdr:spPr bwMode="auto">
        <a:xfrm rot="5400000">
          <a:off x="6726859" y="7258665"/>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090" name="AutoShape 66"/>
        <xdr:cNvCxnSpPr>
          <a:cxnSpLocks noChangeShapeType="1"/>
        </xdr:cNvCxnSpPr>
      </xdr:nvCxnSpPr>
      <xdr:spPr bwMode="auto">
        <a:xfrm rot="5400000" flipV="1">
          <a:off x="6726859" y="7102231"/>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091" name="AutoShape 67"/>
        <xdr:cNvCxnSpPr>
          <a:cxnSpLocks noChangeShapeType="1"/>
        </xdr:cNvCxnSpPr>
      </xdr:nvCxnSpPr>
      <xdr:spPr bwMode="auto">
        <a:xfrm rot="5400000">
          <a:off x="6364525" y="7249412"/>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092" name="AutoShape 68"/>
        <xdr:cNvCxnSpPr>
          <a:cxnSpLocks noChangeShapeType="1"/>
        </xdr:cNvCxnSpPr>
      </xdr:nvCxnSpPr>
      <xdr:spPr bwMode="auto">
        <a:xfrm rot="5400000" flipV="1">
          <a:off x="6364525" y="7108218"/>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093" name="AutoShape 69"/>
        <xdr:cNvCxnSpPr>
          <a:cxnSpLocks noChangeShapeType="1"/>
        </xdr:cNvCxnSpPr>
      </xdr:nvCxnSpPr>
      <xdr:spPr bwMode="auto">
        <a:xfrm rot="5400000">
          <a:off x="7109333" y="726737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094" name="AutoShape 70"/>
        <xdr:cNvCxnSpPr>
          <a:cxnSpLocks noChangeShapeType="1"/>
        </xdr:cNvCxnSpPr>
      </xdr:nvCxnSpPr>
      <xdr:spPr bwMode="auto">
        <a:xfrm rot="5400000" flipV="1">
          <a:off x="7109333" y="7102230"/>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095" name="AutoShape 71"/>
        <xdr:cNvCxnSpPr>
          <a:cxnSpLocks noChangeShapeType="1"/>
        </xdr:cNvCxnSpPr>
      </xdr:nvCxnSpPr>
      <xdr:spPr bwMode="auto">
        <a:xfrm>
          <a:off x="679543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096" name="AutoShape 72"/>
        <xdr:cNvCxnSpPr>
          <a:cxnSpLocks noChangeShapeType="1"/>
        </xdr:cNvCxnSpPr>
      </xdr:nvCxnSpPr>
      <xdr:spPr bwMode="auto">
        <a:xfrm flipV="1">
          <a:off x="670399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097" name="AutoShape 73"/>
        <xdr:cNvCxnSpPr>
          <a:cxnSpLocks noChangeShapeType="1"/>
        </xdr:cNvCxnSpPr>
      </xdr:nvCxnSpPr>
      <xdr:spPr bwMode="auto">
        <a:xfrm>
          <a:off x="6404258" y="7523955"/>
          <a:ext cx="0" cy="20977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098" name="AutoShape 74"/>
        <xdr:cNvCxnSpPr>
          <a:cxnSpLocks noChangeShapeType="1"/>
        </xdr:cNvCxnSpPr>
      </xdr:nvCxnSpPr>
      <xdr:spPr bwMode="auto">
        <a:xfrm flipV="1">
          <a:off x="6312818" y="7523955"/>
          <a:ext cx="0" cy="21739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099" name="AutoShape 75"/>
        <xdr:cNvCxnSpPr>
          <a:cxnSpLocks noChangeShapeType="1"/>
        </xdr:cNvCxnSpPr>
      </xdr:nvCxnSpPr>
      <xdr:spPr bwMode="auto">
        <a:xfrm>
          <a:off x="715614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100" name="AutoShape 76"/>
        <xdr:cNvCxnSpPr>
          <a:cxnSpLocks noChangeShapeType="1"/>
        </xdr:cNvCxnSpPr>
      </xdr:nvCxnSpPr>
      <xdr:spPr bwMode="auto">
        <a:xfrm flipV="1">
          <a:off x="706470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101" name="Oval 77"/>
        <xdr:cNvSpPr>
          <a:spLocks noChangeArrowheads="1"/>
        </xdr:cNvSpPr>
      </xdr:nvSpPr>
      <xdr:spPr bwMode="auto">
        <a:xfrm>
          <a:off x="6937338" y="7878189"/>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102" name="Oval 78"/>
        <xdr:cNvSpPr>
          <a:spLocks noChangeArrowheads="1"/>
        </xdr:cNvSpPr>
      </xdr:nvSpPr>
      <xdr:spPr bwMode="auto">
        <a:xfrm>
          <a:off x="6188720" y="7886897"/>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103" name="Oval 79"/>
        <xdr:cNvSpPr>
          <a:spLocks noChangeArrowheads="1"/>
        </xdr:cNvSpPr>
      </xdr:nvSpPr>
      <xdr:spPr bwMode="auto">
        <a:xfrm>
          <a:off x="6598407" y="7881455"/>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104" name="AutoShape 80"/>
        <xdr:cNvSpPr>
          <a:spLocks noChangeArrowheads="1"/>
        </xdr:cNvSpPr>
      </xdr:nvSpPr>
      <xdr:spPr bwMode="auto">
        <a:xfrm>
          <a:off x="6693113" y="8180173"/>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106" name="AutoShape 82"/>
        <xdr:cNvSpPr>
          <a:spLocks noChangeArrowheads="1"/>
        </xdr:cNvSpPr>
      </xdr:nvSpPr>
      <xdr:spPr bwMode="auto">
        <a:xfrm>
          <a:off x="6301932" y="8147836"/>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108" name="AutoShape 84"/>
        <xdr:cNvSpPr>
          <a:spLocks noChangeArrowheads="1"/>
        </xdr:cNvSpPr>
      </xdr:nvSpPr>
      <xdr:spPr bwMode="auto">
        <a:xfrm>
          <a:off x="7075586" y="8176907"/>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3" name="AutoShape 80"/>
        <xdr:cNvSpPr>
          <a:spLocks noChangeArrowheads="1"/>
        </xdr:cNvSpPr>
      </xdr:nvSpPr>
      <xdr:spPr bwMode="auto">
        <a:xfrm flipH="1">
          <a:off x="6576828" y="8073684"/>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4" name="AutoShape 82"/>
        <xdr:cNvSpPr>
          <a:spLocks noChangeArrowheads="1"/>
        </xdr:cNvSpPr>
      </xdr:nvSpPr>
      <xdr:spPr bwMode="auto">
        <a:xfrm flipH="1">
          <a:off x="6185647" y="8041347"/>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5" name="AutoShape 84"/>
        <xdr:cNvSpPr>
          <a:spLocks noChangeArrowheads="1"/>
        </xdr:cNvSpPr>
      </xdr:nvSpPr>
      <xdr:spPr bwMode="auto">
        <a:xfrm flipH="1">
          <a:off x="6959301" y="8070418"/>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38" name="Groupe 37"/>
        <xdr:cNvGrpSpPr/>
      </xdr:nvGrpSpPr>
      <xdr:grpSpPr>
        <a:xfrm>
          <a:off x="6195508" y="6363596"/>
          <a:ext cx="296401" cy="0"/>
          <a:chOff x="8292353" y="5235388"/>
          <a:chExt cx="296401" cy="0"/>
        </a:xfrm>
      </xdr:grpSpPr>
      <xdr:cxnSp macro="">
        <xdr:nvCxnSpPr>
          <xdr:cNvPr id="18" name="Connecteur droit avec flèche 17"/>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80" name="Groupe 179"/>
        <xdr:cNvGrpSpPr/>
      </xdr:nvGrpSpPr>
      <xdr:grpSpPr>
        <a:xfrm>
          <a:off x="6582784" y="6363596"/>
          <a:ext cx="296401" cy="0"/>
          <a:chOff x="8292353" y="5235388"/>
          <a:chExt cx="296401" cy="0"/>
        </a:xfrm>
      </xdr:grpSpPr>
      <xdr:cxnSp macro="">
        <xdr:nvCxnSpPr>
          <xdr:cNvPr id="181" name="Connecteur droit avec flèche 180"/>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2" name="Connecteur droit avec flèche 181"/>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83" name="Groupe 182"/>
        <xdr:cNvGrpSpPr/>
      </xdr:nvGrpSpPr>
      <xdr:grpSpPr>
        <a:xfrm>
          <a:off x="6970059" y="6354632"/>
          <a:ext cx="296401" cy="0"/>
          <a:chOff x="8292353" y="5235388"/>
          <a:chExt cx="296401" cy="0"/>
        </a:xfrm>
      </xdr:grpSpPr>
      <xdr:cxnSp macro="">
        <xdr:nvCxnSpPr>
          <xdr:cNvPr id="184" name="Connecteur droit avec flèche 183"/>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5" name="Connecteur droit avec flèche 184"/>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B1:O112"/>
  <sheetViews>
    <sheetView tabSelected="1" topLeftCell="A31" zoomScale="115" zoomScaleNormal="115" workbookViewId="0">
      <selection activeCell="G48" sqref="G48"/>
    </sheetView>
  </sheetViews>
  <sheetFormatPr baseColWidth="10" defaultRowHeight="13.8" x14ac:dyDescent="0.25"/>
  <cols>
    <col min="1" max="1" width="7" style="100" customWidth="1"/>
    <col min="2" max="2" width="21" style="100" customWidth="1"/>
    <col min="3" max="4" width="3.77734375" style="100" customWidth="1"/>
    <col min="5" max="6" width="20.77734375" style="100" customWidth="1"/>
    <col min="7" max="11" width="5.77734375" style="100" customWidth="1"/>
    <col min="12" max="12" width="3.33203125" style="100" customWidth="1"/>
    <col min="13" max="13" width="17.33203125" style="100" customWidth="1"/>
    <col min="14" max="16384" width="11.5546875" style="100"/>
  </cols>
  <sheetData>
    <row r="1" spans="2:13" ht="14.4" thickBot="1" x14ac:dyDescent="0.3">
      <c r="B1" s="195" t="s">
        <v>4</v>
      </c>
      <c r="C1" s="196"/>
      <c r="D1" s="196"/>
      <c r="E1" s="196"/>
      <c r="F1" s="196"/>
      <c r="G1" s="196"/>
      <c r="H1" s="196"/>
      <c r="I1" s="196"/>
      <c r="J1" s="196"/>
      <c r="K1" s="197"/>
    </row>
    <row r="2" spans="2:13" x14ac:dyDescent="0.25">
      <c r="B2" s="145" t="s">
        <v>5</v>
      </c>
      <c r="C2" s="230"/>
      <c r="D2" s="231"/>
      <c r="E2" s="231"/>
      <c r="F2" s="231"/>
      <c r="G2" s="231"/>
      <c r="H2" s="231"/>
      <c r="I2" s="231"/>
      <c r="J2" s="231"/>
      <c r="K2" s="232"/>
    </row>
    <row r="3" spans="2:13" x14ac:dyDescent="0.25">
      <c r="B3" s="146" t="s">
        <v>6</v>
      </c>
      <c r="C3" s="186"/>
      <c r="D3" s="186"/>
      <c r="E3" s="186"/>
      <c r="F3" s="186"/>
      <c r="G3" s="186"/>
      <c r="H3" s="186"/>
      <c r="I3" s="186"/>
      <c r="J3" s="186"/>
      <c r="K3" s="202"/>
    </row>
    <row r="4" spans="2:13" x14ac:dyDescent="0.25">
      <c r="B4" s="146" t="s">
        <v>7</v>
      </c>
      <c r="C4" s="186"/>
      <c r="D4" s="186"/>
      <c r="E4" s="186"/>
      <c r="F4" s="186"/>
      <c r="G4" s="186"/>
      <c r="H4" s="186"/>
      <c r="I4" s="186"/>
      <c r="J4" s="186"/>
      <c r="K4" s="202"/>
    </row>
    <row r="5" spans="2:13" x14ac:dyDescent="0.25">
      <c r="B5" s="146" t="s">
        <v>366</v>
      </c>
      <c r="C5" s="203" t="s">
        <v>367</v>
      </c>
      <c r="D5" s="203"/>
      <c r="E5" s="203"/>
      <c r="F5" s="203"/>
      <c r="G5" s="203"/>
      <c r="H5" s="203"/>
      <c r="I5" s="203"/>
      <c r="J5" s="203"/>
      <c r="K5" s="204"/>
    </row>
    <row r="6" spans="2:13" x14ac:dyDescent="0.25">
      <c r="B6" s="147" t="s">
        <v>368</v>
      </c>
      <c r="C6" s="218"/>
      <c r="D6" s="218"/>
      <c r="E6" s="218"/>
      <c r="F6" s="218"/>
      <c r="G6" s="218"/>
      <c r="H6" s="218"/>
      <c r="I6" s="218"/>
      <c r="J6" s="218"/>
      <c r="K6" s="219"/>
    </row>
    <row r="7" spans="2:13" ht="14.4" thickBot="1" x14ac:dyDescent="0.3">
      <c r="B7" s="148" t="s">
        <v>369</v>
      </c>
      <c r="C7" s="220"/>
      <c r="D7" s="220"/>
      <c r="E7" s="220"/>
      <c r="F7" s="220"/>
      <c r="G7" s="220"/>
      <c r="H7" s="220"/>
      <c r="I7" s="220"/>
      <c r="J7" s="220"/>
      <c r="K7" s="221"/>
    </row>
    <row r="8" spans="2:13" ht="10.050000000000001" customHeight="1" thickBot="1" x14ac:dyDescent="0.3"/>
    <row r="9" spans="2:13" ht="15" customHeight="1" thickBot="1" x14ac:dyDescent="0.3">
      <c r="B9" s="198" t="s">
        <v>395</v>
      </c>
      <c r="C9" s="199"/>
      <c r="D9" s="199"/>
      <c r="E9" s="199"/>
      <c r="F9" s="199"/>
      <c r="G9" s="199"/>
      <c r="H9" s="199"/>
      <c r="I9" s="199"/>
      <c r="J9" s="199"/>
      <c r="K9" s="200"/>
    </row>
    <row r="10" spans="2:13" ht="15" customHeight="1" x14ac:dyDescent="0.25">
      <c r="B10" s="145" t="s">
        <v>17</v>
      </c>
      <c r="C10" s="185"/>
      <c r="D10" s="185"/>
      <c r="E10" s="185"/>
      <c r="F10" s="185"/>
      <c r="G10" s="185"/>
      <c r="H10" s="185"/>
      <c r="I10" s="185"/>
      <c r="J10" s="185"/>
      <c r="K10" s="201"/>
    </row>
    <row r="11" spans="2:13" ht="15" customHeight="1" x14ac:dyDescent="0.25">
      <c r="B11" s="102" t="s">
        <v>8</v>
      </c>
      <c r="C11" s="186"/>
      <c r="D11" s="186"/>
      <c r="E11" s="186"/>
      <c r="F11" s="186"/>
      <c r="G11" s="186"/>
      <c r="H11" s="186"/>
      <c r="I11" s="186"/>
      <c r="J11" s="186"/>
      <c r="K11" s="202"/>
    </row>
    <row r="12" spans="2:13" ht="15" customHeight="1" x14ac:dyDescent="0.25">
      <c r="B12" s="102" t="s">
        <v>396</v>
      </c>
      <c r="C12" s="203" t="s">
        <v>367</v>
      </c>
      <c r="D12" s="203"/>
      <c r="E12" s="203"/>
      <c r="F12" s="203"/>
      <c r="G12" s="203"/>
      <c r="H12" s="203"/>
      <c r="I12" s="203"/>
      <c r="J12" s="203"/>
      <c r="K12" s="204"/>
      <c r="M12" s="100" t="s">
        <v>404</v>
      </c>
    </row>
    <row r="13" spans="2:13" ht="15" customHeight="1" x14ac:dyDescent="0.25">
      <c r="B13" s="102" t="s">
        <v>397</v>
      </c>
      <c r="C13" s="210"/>
      <c r="D13" s="210"/>
      <c r="E13" s="210"/>
      <c r="F13" s="210"/>
      <c r="G13" s="210"/>
      <c r="H13" s="210"/>
      <c r="I13" s="210"/>
      <c r="J13" s="210"/>
      <c r="K13" s="211"/>
    </row>
    <row r="14" spans="2:13" ht="15" customHeight="1" thickBot="1" x14ac:dyDescent="0.3">
      <c r="B14" s="149" t="s">
        <v>398</v>
      </c>
      <c r="C14" s="222"/>
      <c r="D14" s="222"/>
      <c r="E14" s="222"/>
      <c r="F14" s="222"/>
      <c r="G14" s="222"/>
      <c r="H14" s="222"/>
      <c r="I14" s="222"/>
      <c r="J14" s="222"/>
      <c r="K14" s="223"/>
    </row>
    <row r="15" spans="2:13" ht="10.050000000000001" customHeight="1" thickBot="1" x14ac:dyDescent="0.3">
      <c r="B15" s="150"/>
      <c r="C15" s="151"/>
      <c r="D15" s="151"/>
      <c r="E15" s="151"/>
      <c r="F15" s="151"/>
      <c r="G15" s="151"/>
      <c r="H15" s="151"/>
      <c r="I15" s="151"/>
      <c r="J15" s="151"/>
      <c r="K15" s="151"/>
    </row>
    <row r="16" spans="2:13" ht="15" customHeight="1" thickBot="1" x14ac:dyDescent="0.3">
      <c r="B16" s="198" t="s">
        <v>399</v>
      </c>
      <c r="C16" s="199"/>
      <c r="D16" s="199"/>
      <c r="E16" s="199"/>
      <c r="F16" s="199"/>
      <c r="G16" s="199"/>
      <c r="H16" s="199"/>
      <c r="I16" s="199"/>
      <c r="J16" s="199"/>
      <c r="K16" s="200"/>
    </row>
    <row r="17" spans="2:13" ht="15" customHeight="1" x14ac:dyDescent="0.25">
      <c r="B17" s="224" t="s">
        <v>27</v>
      </c>
      <c r="C17" s="185" t="s">
        <v>60</v>
      </c>
      <c r="D17" s="185"/>
      <c r="E17" s="185"/>
      <c r="F17" s="185"/>
      <c r="G17" s="184" t="s">
        <v>0</v>
      </c>
      <c r="H17" s="184"/>
      <c r="I17" s="177" t="s">
        <v>367</v>
      </c>
      <c r="J17" s="177"/>
      <c r="K17" s="178"/>
      <c r="M17" s="100" t="s">
        <v>404</v>
      </c>
    </row>
    <row r="18" spans="2:13" ht="15" customHeight="1" x14ac:dyDescent="0.25">
      <c r="B18" s="225"/>
      <c r="C18" s="186" t="s">
        <v>60</v>
      </c>
      <c r="D18" s="186"/>
      <c r="E18" s="186"/>
      <c r="F18" s="186"/>
      <c r="G18" s="183" t="s">
        <v>0</v>
      </c>
      <c r="H18" s="183"/>
      <c r="I18" s="179" t="s">
        <v>367</v>
      </c>
      <c r="J18" s="179"/>
      <c r="K18" s="180"/>
    </row>
    <row r="19" spans="2:13" ht="15" customHeight="1" x14ac:dyDescent="0.25">
      <c r="B19" s="225"/>
      <c r="C19" s="186" t="s">
        <v>60</v>
      </c>
      <c r="D19" s="186"/>
      <c r="E19" s="186"/>
      <c r="F19" s="186"/>
      <c r="G19" s="183" t="s">
        <v>0</v>
      </c>
      <c r="H19" s="183"/>
      <c r="I19" s="179" t="s">
        <v>367</v>
      </c>
      <c r="J19" s="179"/>
      <c r="K19" s="180"/>
    </row>
    <row r="20" spans="2:13" ht="15" customHeight="1" x14ac:dyDescent="0.25">
      <c r="B20" s="225"/>
      <c r="C20" s="186" t="s">
        <v>60</v>
      </c>
      <c r="D20" s="186"/>
      <c r="E20" s="186"/>
      <c r="F20" s="186"/>
      <c r="G20" s="183" t="s">
        <v>0</v>
      </c>
      <c r="H20" s="183"/>
      <c r="I20" s="179" t="s">
        <v>367</v>
      </c>
      <c r="J20" s="179"/>
      <c r="K20" s="180"/>
    </row>
    <row r="21" spans="2:13" ht="15" customHeight="1" x14ac:dyDescent="0.25">
      <c r="B21" s="225"/>
      <c r="C21" s="186" t="s">
        <v>60</v>
      </c>
      <c r="D21" s="186"/>
      <c r="E21" s="186"/>
      <c r="F21" s="186"/>
      <c r="G21" s="183" t="s">
        <v>0</v>
      </c>
      <c r="H21" s="183"/>
      <c r="I21" s="179" t="s">
        <v>367</v>
      </c>
      <c r="J21" s="179"/>
      <c r="K21" s="180"/>
    </row>
    <row r="22" spans="2:13" ht="15" customHeight="1" thickBot="1" x14ac:dyDescent="0.3">
      <c r="B22" s="226"/>
      <c r="C22" s="229" t="s">
        <v>60</v>
      </c>
      <c r="D22" s="229"/>
      <c r="E22" s="229"/>
      <c r="F22" s="229"/>
      <c r="G22" s="176" t="s">
        <v>0</v>
      </c>
      <c r="H22" s="176"/>
      <c r="I22" s="181" t="s">
        <v>367</v>
      </c>
      <c r="J22" s="181"/>
      <c r="K22" s="182"/>
    </row>
    <row r="23" spans="2:13" ht="10.050000000000001" customHeight="1" thickBot="1" x14ac:dyDescent="0.3"/>
    <row r="24" spans="2:13" ht="14.4" thickBot="1" x14ac:dyDescent="0.3">
      <c r="B24" s="198" t="s">
        <v>9</v>
      </c>
      <c r="C24" s="199"/>
      <c r="D24" s="199"/>
      <c r="E24" s="199"/>
      <c r="F24" s="199"/>
      <c r="G24" s="199"/>
      <c r="H24" s="199"/>
      <c r="I24" s="199"/>
      <c r="J24" s="199"/>
      <c r="K24" s="200"/>
    </row>
    <row r="25" spans="2:13" x14ac:dyDescent="0.25">
      <c r="B25" s="101" t="s">
        <v>1</v>
      </c>
      <c r="C25" s="185"/>
      <c r="D25" s="185"/>
      <c r="E25" s="185"/>
      <c r="F25" s="185"/>
      <c r="G25" s="185"/>
      <c r="H25" s="185"/>
      <c r="I25" s="185"/>
      <c r="J25" s="185"/>
      <c r="K25" s="201"/>
    </row>
    <row r="26" spans="2:13" x14ac:dyDescent="0.25">
      <c r="B26" s="102" t="s">
        <v>10</v>
      </c>
      <c r="C26" s="186"/>
      <c r="D26" s="186"/>
      <c r="E26" s="186"/>
      <c r="F26" s="186"/>
      <c r="G26" s="186"/>
      <c r="H26" s="186"/>
      <c r="I26" s="186"/>
      <c r="J26" s="186"/>
      <c r="K26" s="202"/>
    </row>
    <row r="27" spans="2:13" x14ac:dyDescent="0.25">
      <c r="B27" s="102" t="s">
        <v>0</v>
      </c>
      <c r="C27" s="203" t="s">
        <v>367</v>
      </c>
      <c r="D27" s="203"/>
      <c r="E27" s="203"/>
      <c r="F27" s="203"/>
      <c r="G27" s="203"/>
      <c r="H27" s="203"/>
      <c r="I27" s="203"/>
      <c r="J27" s="203"/>
      <c r="K27" s="204"/>
    </row>
    <row r="28" spans="2:13" x14ac:dyDescent="0.25">
      <c r="B28" s="102" t="s">
        <v>11</v>
      </c>
      <c r="C28" s="186"/>
      <c r="D28" s="186"/>
      <c r="E28" s="186"/>
      <c r="F28" s="186"/>
      <c r="G28" s="186"/>
      <c r="H28" s="186"/>
      <c r="I28" s="186"/>
      <c r="J28" s="186"/>
      <c r="K28" s="202"/>
    </row>
    <row r="29" spans="2:13" ht="76.8" customHeight="1" thickBot="1" x14ac:dyDescent="0.3">
      <c r="B29" s="103" t="s">
        <v>25</v>
      </c>
      <c r="C29" s="227"/>
      <c r="D29" s="227"/>
      <c r="E29" s="227"/>
      <c r="F29" s="227"/>
      <c r="G29" s="227"/>
      <c r="H29" s="227"/>
      <c r="I29" s="227"/>
      <c r="J29" s="227"/>
      <c r="K29" s="228"/>
    </row>
    <row r="30" spans="2:13" ht="10.050000000000001" customHeight="1" thickBot="1" x14ac:dyDescent="0.3"/>
    <row r="31" spans="2:13" ht="14.4" thickBot="1" x14ac:dyDescent="0.3">
      <c r="B31" s="195" t="s">
        <v>371</v>
      </c>
      <c r="C31" s="196"/>
      <c r="D31" s="196"/>
      <c r="E31" s="196"/>
      <c r="F31" s="196"/>
      <c r="G31" s="196"/>
      <c r="H31" s="196"/>
      <c r="I31" s="196"/>
      <c r="J31" s="196"/>
      <c r="K31" s="197"/>
    </row>
    <row r="32" spans="2:13" x14ac:dyDescent="0.25">
      <c r="B32" s="206" t="s">
        <v>372</v>
      </c>
      <c r="C32" s="207"/>
      <c r="D32" s="207"/>
      <c r="E32" s="207"/>
      <c r="F32" s="208" t="s">
        <v>238</v>
      </c>
      <c r="G32" s="208"/>
      <c r="H32" s="208"/>
      <c r="I32" s="208"/>
      <c r="J32" s="208"/>
      <c r="K32" s="209"/>
    </row>
    <row r="33" spans="2:13" x14ac:dyDescent="0.25">
      <c r="B33" s="212" t="s">
        <v>373</v>
      </c>
      <c r="C33" s="213"/>
      <c r="D33" s="205" t="s">
        <v>376</v>
      </c>
      <c r="E33" s="205"/>
      <c r="F33" s="210" t="s">
        <v>471</v>
      </c>
      <c r="G33" s="210"/>
      <c r="H33" s="210"/>
      <c r="I33" s="210"/>
      <c r="J33" s="210"/>
      <c r="K33" s="211"/>
    </row>
    <row r="34" spans="2:13" x14ac:dyDescent="0.25">
      <c r="B34" s="214"/>
      <c r="C34" s="215"/>
      <c r="D34" s="205" t="s">
        <v>375</v>
      </c>
      <c r="E34" s="205"/>
      <c r="F34" s="210" t="s">
        <v>470</v>
      </c>
      <c r="G34" s="210"/>
      <c r="H34" s="210"/>
      <c r="I34" s="210"/>
      <c r="J34" s="210"/>
      <c r="K34" s="211"/>
    </row>
    <row r="35" spans="2:13" x14ac:dyDescent="0.25">
      <c r="B35" s="214"/>
      <c r="C35" s="215"/>
      <c r="D35" s="205" t="s">
        <v>377</v>
      </c>
      <c r="E35" s="205"/>
      <c r="F35" s="210" t="s">
        <v>470</v>
      </c>
      <c r="G35" s="210"/>
      <c r="H35" s="210"/>
      <c r="I35" s="210"/>
      <c r="J35" s="210"/>
      <c r="K35" s="211"/>
    </row>
    <row r="36" spans="2:13" x14ac:dyDescent="0.25">
      <c r="B36" s="216"/>
      <c r="C36" s="217"/>
      <c r="D36" s="205" t="s">
        <v>378</v>
      </c>
      <c r="E36" s="205"/>
      <c r="F36" s="210" t="s">
        <v>470</v>
      </c>
      <c r="G36" s="210"/>
      <c r="H36" s="210"/>
      <c r="I36" s="210"/>
      <c r="J36" s="210"/>
      <c r="K36" s="211"/>
    </row>
    <row r="37" spans="2:13" x14ac:dyDescent="0.25">
      <c r="B37" s="187" t="s">
        <v>374</v>
      </c>
      <c r="C37" s="188"/>
      <c r="D37" s="152">
        <v>1</v>
      </c>
      <c r="E37" s="165" t="s">
        <v>239</v>
      </c>
      <c r="F37" s="166" t="s">
        <v>239</v>
      </c>
      <c r="G37" s="153">
        <v>9</v>
      </c>
      <c r="H37" s="191"/>
      <c r="I37" s="191"/>
      <c r="J37" s="191"/>
      <c r="K37" s="192"/>
    </row>
    <row r="38" spans="2:13" x14ac:dyDescent="0.25">
      <c r="B38" s="187"/>
      <c r="C38" s="188"/>
      <c r="D38" s="154">
        <v>2</v>
      </c>
      <c r="E38" s="167" t="s">
        <v>239</v>
      </c>
      <c r="F38" s="168" t="s">
        <v>239</v>
      </c>
      <c r="G38" s="155">
        <v>10</v>
      </c>
      <c r="H38" s="191"/>
      <c r="I38" s="191"/>
      <c r="J38" s="191"/>
      <c r="K38" s="192"/>
    </row>
    <row r="39" spans="2:13" x14ac:dyDescent="0.25">
      <c r="B39" s="187"/>
      <c r="C39" s="188"/>
      <c r="D39" s="156">
        <v>3</v>
      </c>
      <c r="E39" s="167" t="s">
        <v>239</v>
      </c>
      <c r="F39" s="168" t="s">
        <v>239</v>
      </c>
      <c r="G39" s="155">
        <v>11</v>
      </c>
      <c r="H39" s="191"/>
      <c r="I39" s="191"/>
      <c r="J39" s="191"/>
      <c r="K39" s="192"/>
    </row>
    <row r="40" spans="2:13" x14ac:dyDescent="0.25">
      <c r="B40" s="187"/>
      <c r="C40" s="188"/>
      <c r="D40" s="154">
        <v>4</v>
      </c>
      <c r="E40" s="167" t="s">
        <v>239</v>
      </c>
      <c r="F40" s="168" t="s">
        <v>239</v>
      </c>
      <c r="G40" s="155">
        <v>12</v>
      </c>
      <c r="H40" s="191"/>
      <c r="I40" s="191"/>
      <c r="J40" s="191"/>
      <c r="K40" s="192"/>
    </row>
    <row r="41" spans="2:13" x14ac:dyDescent="0.25">
      <c r="B41" s="187"/>
      <c r="C41" s="188"/>
      <c r="D41" s="156">
        <v>5</v>
      </c>
      <c r="E41" s="167" t="s">
        <v>239</v>
      </c>
      <c r="F41" s="168" t="s">
        <v>239</v>
      </c>
      <c r="G41" s="155">
        <v>13</v>
      </c>
      <c r="H41" s="191"/>
      <c r="I41" s="191"/>
      <c r="J41" s="191"/>
      <c r="K41" s="192"/>
    </row>
    <row r="42" spans="2:13" x14ac:dyDescent="0.25">
      <c r="B42" s="187"/>
      <c r="C42" s="188"/>
      <c r="D42" s="154">
        <v>6</v>
      </c>
      <c r="E42" s="167" t="s">
        <v>239</v>
      </c>
      <c r="F42" s="168" t="s">
        <v>239</v>
      </c>
      <c r="G42" s="155">
        <v>14</v>
      </c>
      <c r="H42" s="191"/>
      <c r="I42" s="191"/>
      <c r="J42" s="191"/>
      <c r="K42" s="192"/>
    </row>
    <row r="43" spans="2:13" x14ac:dyDescent="0.25">
      <c r="B43" s="187"/>
      <c r="C43" s="188"/>
      <c r="D43" s="156">
        <v>7</v>
      </c>
      <c r="E43" s="167" t="s">
        <v>239</v>
      </c>
      <c r="F43" s="168" t="s">
        <v>239</v>
      </c>
      <c r="G43" s="155">
        <v>15</v>
      </c>
      <c r="H43" s="191"/>
      <c r="I43" s="191"/>
      <c r="J43" s="191"/>
      <c r="K43" s="192"/>
    </row>
    <row r="44" spans="2:13" ht="14.4" thickBot="1" x14ac:dyDescent="0.3">
      <c r="B44" s="189"/>
      <c r="C44" s="190"/>
      <c r="D44" s="157">
        <v>8</v>
      </c>
      <c r="E44" s="169" t="s">
        <v>239</v>
      </c>
      <c r="F44" s="170" t="s">
        <v>239</v>
      </c>
      <c r="G44" s="158">
        <v>16</v>
      </c>
      <c r="H44" s="193"/>
      <c r="I44" s="193"/>
      <c r="J44" s="193"/>
      <c r="K44" s="194"/>
    </row>
    <row r="45" spans="2:13" ht="10.050000000000001" customHeight="1" thickBot="1" x14ac:dyDescent="0.3"/>
    <row r="46" spans="2:13" ht="14.4" thickBot="1" x14ac:dyDescent="0.3">
      <c r="B46" s="195" t="s">
        <v>379</v>
      </c>
      <c r="C46" s="196"/>
      <c r="D46" s="196"/>
      <c r="E46" s="196"/>
      <c r="F46" s="196"/>
      <c r="G46" s="196"/>
      <c r="H46" s="196"/>
      <c r="I46" s="196"/>
      <c r="J46" s="196"/>
      <c r="K46" s="197"/>
    </row>
    <row r="47" spans="2:13" x14ac:dyDescent="0.25">
      <c r="B47" s="159" t="s">
        <v>5</v>
      </c>
      <c r="C47" s="159" t="s">
        <v>75</v>
      </c>
      <c r="D47" s="159" t="s">
        <v>74</v>
      </c>
      <c r="E47" s="160" t="s">
        <v>380</v>
      </c>
      <c r="F47" s="161" t="s">
        <v>381</v>
      </c>
      <c r="G47" s="162" t="s">
        <v>382</v>
      </c>
      <c r="H47" s="162" t="s">
        <v>383</v>
      </c>
      <c r="I47" s="162" t="s">
        <v>384</v>
      </c>
      <c r="J47" s="162" t="s">
        <v>385</v>
      </c>
      <c r="K47" s="162" t="s">
        <v>515</v>
      </c>
      <c r="M47" s="160" t="s">
        <v>380</v>
      </c>
    </row>
    <row r="48" spans="2:13" x14ac:dyDescent="0.25">
      <c r="B48" s="171" t="s">
        <v>386</v>
      </c>
      <c r="C48" s="456"/>
      <c r="D48" s="456"/>
      <c r="E48" s="173"/>
      <c r="F48" s="457"/>
      <c r="G48" s="173"/>
      <c r="H48" s="173"/>
      <c r="I48" s="173"/>
      <c r="J48" s="173"/>
      <c r="K48" s="173"/>
      <c r="M48" s="172" t="s">
        <v>391</v>
      </c>
    </row>
    <row r="49" spans="2:15" x14ac:dyDescent="0.25">
      <c r="B49" s="171" t="s">
        <v>387</v>
      </c>
      <c r="C49" s="456"/>
      <c r="D49" s="456"/>
      <c r="E49" s="173"/>
      <c r="F49" s="457"/>
      <c r="G49" s="173"/>
      <c r="H49" s="173"/>
      <c r="I49" s="173"/>
      <c r="J49" s="173"/>
      <c r="K49" s="173"/>
      <c r="M49" s="172" t="s">
        <v>392</v>
      </c>
    </row>
    <row r="50" spans="2:15" x14ac:dyDescent="0.25">
      <c r="B50" s="171" t="s">
        <v>388</v>
      </c>
      <c r="C50" s="456"/>
      <c r="D50" s="456"/>
      <c r="E50" s="173"/>
      <c r="F50" s="457"/>
      <c r="G50" s="173"/>
      <c r="H50" s="173"/>
      <c r="I50" s="173"/>
      <c r="J50" s="173"/>
      <c r="K50" s="173"/>
    </row>
    <row r="51" spans="2:15" ht="14.4" x14ac:dyDescent="0.3">
      <c r="B51" s="171" t="s">
        <v>389</v>
      </c>
      <c r="C51" s="456"/>
      <c r="D51" s="456"/>
      <c r="E51" s="173"/>
      <c r="F51" s="457"/>
      <c r="G51" s="173"/>
      <c r="H51" s="173"/>
      <c r="I51" s="173"/>
      <c r="J51" s="173"/>
      <c r="K51" s="173"/>
      <c r="M51" s="174"/>
      <c r="N51" s="163" t="s">
        <v>393</v>
      </c>
      <c r="O51" s="164"/>
    </row>
    <row r="52" spans="2:15" ht="14.4" x14ac:dyDescent="0.3">
      <c r="B52" s="171" t="s">
        <v>390</v>
      </c>
      <c r="C52" s="456"/>
      <c r="D52" s="456"/>
      <c r="E52" s="173"/>
      <c r="F52" s="457"/>
      <c r="G52" s="173"/>
      <c r="H52" s="173"/>
      <c r="I52" s="173"/>
      <c r="J52" s="173"/>
      <c r="K52" s="173"/>
      <c r="M52" s="171"/>
      <c r="N52" s="163" t="s">
        <v>394</v>
      </c>
      <c r="O52" s="164"/>
    </row>
    <row r="53" spans="2:15" x14ac:dyDescent="0.25">
      <c r="B53" s="171" t="s">
        <v>516</v>
      </c>
      <c r="C53" s="456"/>
      <c r="D53" s="456"/>
      <c r="E53" s="173"/>
      <c r="F53" s="457"/>
      <c r="G53" s="173"/>
      <c r="H53" s="173"/>
      <c r="I53" s="173"/>
      <c r="J53" s="173"/>
      <c r="K53" s="173"/>
    </row>
    <row r="54" spans="2:15" x14ac:dyDescent="0.25">
      <c r="B54" s="171" t="s">
        <v>517</v>
      </c>
      <c r="C54" s="456"/>
      <c r="D54" s="456"/>
      <c r="E54" s="173"/>
      <c r="F54" s="457"/>
      <c r="G54" s="173"/>
      <c r="H54" s="173"/>
      <c r="I54" s="173"/>
      <c r="J54" s="173"/>
      <c r="K54" s="173"/>
    </row>
    <row r="55" spans="2:15" x14ac:dyDescent="0.25">
      <c r="B55" s="171" t="s">
        <v>518</v>
      </c>
      <c r="C55" s="456"/>
      <c r="D55" s="456"/>
      <c r="E55" s="173"/>
      <c r="F55" s="457"/>
      <c r="G55" s="173"/>
      <c r="H55" s="173"/>
      <c r="I55" s="173"/>
      <c r="J55" s="173"/>
      <c r="K55" s="173"/>
    </row>
    <row r="56" spans="2:15" x14ac:dyDescent="0.25">
      <c r="B56" s="171" t="s">
        <v>519</v>
      </c>
      <c r="C56" s="456"/>
      <c r="D56" s="456"/>
      <c r="E56" s="173"/>
      <c r="F56" s="457"/>
      <c r="G56" s="173"/>
      <c r="H56" s="173"/>
      <c r="I56" s="173"/>
      <c r="J56" s="173"/>
      <c r="K56" s="173"/>
    </row>
    <row r="57" spans="2:15" x14ac:dyDescent="0.25">
      <c r="B57" s="171" t="s">
        <v>520</v>
      </c>
      <c r="C57" s="456"/>
      <c r="D57" s="456"/>
      <c r="E57" s="173"/>
      <c r="F57" s="457"/>
      <c r="G57" s="173"/>
      <c r="H57" s="173"/>
      <c r="I57" s="173"/>
      <c r="J57" s="173"/>
      <c r="K57" s="173"/>
    </row>
    <row r="58" spans="2:15" x14ac:dyDescent="0.25">
      <c r="B58" s="171" t="s">
        <v>415</v>
      </c>
      <c r="C58" s="173"/>
      <c r="D58" s="173"/>
      <c r="E58" s="173"/>
      <c r="F58" s="457"/>
      <c r="G58" s="173"/>
      <c r="H58" s="173"/>
      <c r="I58" s="173"/>
      <c r="J58" s="173"/>
      <c r="K58" s="173"/>
    </row>
    <row r="59" spans="2:15" x14ac:dyDescent="0.25">
      <c r="B59" s="171" t="s">
        <v>416</v>
      </c>
      <c r="C59" s="173"/>
      <c r="D59" s="173"/>
      <c r="E59" s="173"/>
      <c r="F59" s="457"/>
      <c r="G59" s="173"/>
      <c r="H59" s="173"/>
      <c r="I59" s="173"/>
      <c r="J59" s="173"/>
      <c r="K59" s="173"/>
    </row>
    <row r="60" spans="2:15" x14ac:dyDescent="0.25">
      <c r="B60" s="171" t="s">
        <v>417</v>
      </c>
      <c r="C60" s="173"/>
      <c r="D60" s="173"/>
      <c r="E60" s="173"/>
      <c r="F60" s="457"/>
      <c r="G60" s="173"/>
      <c r="H60" s="173"/>
      <c r="I60" s="173"/>
      <c r="J60" s="173"/>
      <c r="K60" s="173"/>
    </row>
    <row r="61" spans="2:15" x14ac:dyDescent="0.25">
      <c r="B61" s="171" t="s">
        <v>418</v>
      </c>
      <c r="C61" s="173"/>
      <c r="D61" s="173"/>
      <c r="E61" s="173"/>
      <c r="F61" s="457"/>
      <c r="G61" s="173"/>
      <c r="H61" s="173"/>
      <c r="I61" s="173"/>
      <c r="J61" s="173"/>
      <c r="K61" s="173"/>
    </row>
    <row r="62" spans="2:15" x14ac:dyDescent="0.25">
      <c r="B62" s="171" t="s">
        <v>419</v>
      </c>
      <c r="C62" s="173"/>
      <c r="D62" s="173"/>
      <c r="E62" s="173"/>
      <c r="F62" s="457"/>
      <c r="G62" s="173"/>
      <c r="H62" s="173"/>
      <c r="I62" s="173"/>
      <c r="J62" s="173"/>
      <c r="K62" s="173"/>
    </row>
    <row r="63" spans="2:15" x14ac:dyDescent="0.25">
      <c r="B63" s="171" t="s">
        <v>420</v>
      </c>
      <c r="C63" s="173"/>
      <c r="D63" s="173"/>
      <c r="E63" s="173"/>
      <c r="F63" s="457"/>
      <c r="G63" s="173"/>
      <c r="H63" s="173"/>
      <c r="I63" s="173"/>
      <c r="J63" s="173"/>
      <c r="K63" s="173"/>
    </row>
    <row r="64" spans="2:15" x14ac:dyDescent="0.25">
      <c r="B64" s="171" t="s">
        <v>421</v>
      </c>
      <c r="C64" s="173"/>
      <c r="D64" s="173"/>
      <c r="E64" s="173"/>
      <c r="F64" s="457"/>
      <c r="G64" s="173"/>
      <c r="H64" s="173"/>
      <c r="I64" s="173"/>
      <c r="J64" s="173"/>
      <c r="K64" s="173"/>
    </row>
    <row r="65" spans="2:11" x14ac:dyDescent="0.25">
      <c r="B65" s="171" t="s">
        <v>422</v>
      </c>
      <c r="C65" s="173"/>
      <c r="D65" s="173"/>
      <c r="E65" s="173"/>
      <c r="F65" s="457"/>
      <c r="G65" s="173"/>
      <c r="H65" s="173"/>
      <c r="I65" s="173"/>
      <c r="J65" s="173"/>
      <c r="K65" s="173"/>
    </row>
    <row r="66" spans="2:11" x14ac:dyDescent="0.25">
      <c r="B66" s="171" t="s">
        <v>423</v>
      </c>
      <c r="C66" s="173"/>
      <c r="D66" s="173"/>
      <c r="E66" s="173"/>
      <c r="F66" s="457"/>
      <c r="G66" s="173"/>
      <c r="H66" s="173"/>
      <c r="I66" s="173"/>
      <c r="J66" s="173"/>
      <c r="K66" s="173"/>
    </row>
    <row r="67" spans="2:11" x14ac:dyDescent="0.25">
      <c r="B67" s="171" t="s">
        <v>424</v>
      </c>
      <c r="C67" s="173"/>
      <c r="D67" s="173"/>
      <c r="E67" s="173"/>
      <c r="F67" s="457"/>
      <c r="G67" s="173"/>
      <c r="H67" s="173"/>
      <c r="I67" s="173"/>
      <c r="J67" s="173"/>
      <c r="K67" s="173"/>
    </row>
    <row r="68" spans="2:11" x14ac:dyDescent="0.25">
      <c r="B68" s="171" t="s">
        <v>425</v>
      </c>
      <c r="C68" s="173"/>
      <c r="D68" s="173"/>
      <c r="E68" s="173"/>
      <c r="F68" s="457"/>
      <c r="G68" s="173"/>
      <c r="H68" s="173"/>
      <c r="I68" s="173"/>
      <c r="J68" s="173"/>
      <c r="K68" s="173"/>
    </row>
    <row r="69" spans="2:11" x14ac:dyDescent="0.25">
      <c r="B69" s="171" t="s">
        <v>426</v>
      </c>
      <c r="C69" s="173"/>
      <c r="D69" s="173"/>
      <c r="E69" s="173"/>
      <c r="F69" s="457"/>
      <c r="G69" s="173"/>
      <c r="H69" s="173"/>
      <c r="I69" s="173"/>
      <c r="J69" s="173"/>
      <c r="K69" s="173"/>
    </row>
    <row r="70" spans="2:11" x14ac:dyDescent="0.25">
      <c r="B70" s="171" t="s">
        <v>427</v>
      </c>
      <c r="C70" s="173"/>
      <c r="D70" s="173"/>
      <c r="E70" s="173"/>
      <c r="F70" s="457"/>
      <c r="G70" s="173"/>
      <c r="H70" s="173"/>
      <c r="I70" s="173"/>
      <c r="J70" s="173"/>
      <c r="K70" s="173"/>
    </row>
    <row r="71" spans="2:11" x14ac:dyDescent="0.25">
      <c r="B71" s="171" t="s">
        <v>428</v>
      </c>
      <c r="C71" s="173"/>
      <c r="D71" s="173"/>
      <c r="E71" s="173"/>
      <c r="F71" s="457"/>
      <c r="G71" s="173"/>
      <c r="H71" s="173"/>
      <c r="I71" s="173"/>
      <c r="J71" s="173"/>
      <c r="K71" s="173"/>
    </row>
    <row r="72" spans="2:11" x14ac:dyDescent="0.25">
      <c r="B72" s="171" t="s">
        <v>429</v>
      </c>
      <c r="C72" s="173"/>
      <c r="D72" s="173"/>
      <c r="E72" s="173"/>
      <c r="F72" s="457"/>
      <c r="G72" s="173"/>
      <c r="H72" s="173"/>
      <c r="I72" s="173"/>
      <c r="J72" s="173"/>
      <c r="K72" s="173"/>
    </row>
    <row r="73" spans="2:11" x14ac:dyDescent="0.25">
      <c r="B73" s="171" t="s">
        <v>430</v>
      </c>
      <c r="C73" s="173"/>
      <c r="D73" s="173"/>
      <c r="E73" s="173"/>
      <c r="F73" s="457"/>
      <c r="G73" s="173"/>
      <c r="H73" s="173"/>
      <c r="I73" s="173"/>
      <c r="J73" s="173"/>
      <c r="K73" s="173"/>
    </row>
    <row r="74" spans="2:11" x14ac:dyDescent="0.25">
      <c r="B74" s="171" t="s">
        <v>431</v>
      </c>
      <c r="C74" s="173"/>
      <c r="D74" s="173"/>
      <c r="E74" s="173"/>
      <c r="F74" s="457"/>
      <c r="G74" s="173"/>
      <c r="H74" s="173"/>
      <c r="I74" s="173"/>
      <c r="J74" s="173"/>
      <c r="K74" s="173"/>
    </row>
    <row r="75" spans="2:11" x14ac:dyDescent="0.25">
      <c r="B75" s="171" t="s">
        <v>432</v>
      </c>
      <c r="C75" s="173"/>
      <c r="D75" s="173"/>
      <c r="E75" s="173"/>
      <c r="F75" s="457"/>
      <c r="G75" s="173"/>
      <c r="H75" s="173"/>
      <c r="I75" s="173"/>
      <c r="J75" s="173"/>
      <c r="K75" s="173"/>
    </row>
    <row r="76" spans="2:11" x14ac:dyDescent="0.25">
      <c r="B76" s="171" t="s">
        <v>433</v>
      </c>
      <c r="C76" s="173"/>
      <c r="D76" s="173"/>
      <c r="E76" s="173"/>
      <c r="F76" s="457"/>
      <c r="G76" s="173"/>
      <c r="H76" s="173"/>
      <c r="I76" s="173"/>
      <c r="J76" s="173"/>
      <c r="K76" s="173"/>
    </row>
    <row r="77" spans="2:11" x14ac:dyDescent="0.25">
      <c r="B77" s="171" t="s">
        <v>434</v>
      </c>
      <c r="C77" s="173"/>
      <c r="D77" s="173"/>
      <c r="E77" s="173"/>
      <c r="F77" s="457"/>
      <c r="G77" s="173"/>
      <c r="H77" s="173"/>
      <c r="I77" s="173"/>
      <c r="J77" s="173"/>
      <c r="K77" s="173"/>
    </row>
    <row r="78" spans="2:11" x14ac:dyDescent="0.25">
      <c r="B78" s="171" t="s">
        <v>435</v>
      </c>
      <c r="C78" s="173"/>
      <c r="D78" s="173"/>
      <c r="E78" s="173"/>
      <c r="F78" s="457"/>
      <c r="G78" s="173"/>
      <c r="H78" s="173"/>
      <c r="I78" s="173"/>
      <c r="J78" s="173"/>
      <c r="K78" s="173"/>
    </row>
    <row r="79" spans="2:11" x14ac:dyDescent="0.25">
      <c r="B79" s="171" t="s">
        <v>436</v>
      </c>
      <c r="C79" s="173"/>
      <c r="D79" s="173"/>
      <c r="E79" s="173"/>
      <c r="F79" s="457"/>
      <c r="G79" s="173"/>
      <c r="H79" s="173"/>
      <c r="I79" s="173"/>
      <c r="J79" s="173"/>
      <c r="K79" s="173"/>
    </row>
    <row r="80" spans="2:11" x14ac:dyDescent="0.25">
      <c r="B80" s="171" t="s">
        <v>437</v>
      </c>
      <c r="C80" s="173"/>
      <c r="D80" s="173"/>
      <c r="E80" s="173"/>
      <c r="F80" s="457"/>
      <c r="G80" s="173"/>
      <c r="H80" s="173"/>
      <c r="I80" s="173"/>
      <c r="J80" s="173"/>
      <c r="K80" s="173"/>
    </row>
    <row r="81" spans="2:11" x14ac:dyDescent="0.25">
      <c r="B81" s="171" t="s">
        <v>438</v>
      </c>
      <c r="C81" s="173"/>
      <c r="D81" s="173"/>
      <c r="E81" s="173"/>
      <c r="F81" s="457"/>
      <c r="G81" s="173"/>
      <c r="H81" s="173"/>
      <c r="I81" s="173"/>
      <c r="J81" s="173"/>
      <c r="K81" s="173"/>
    </row>
    <row r="82" spans="2:11" x14ac:dyDescent="0.25">
      <c r="B82" s="171" t="s">
        <v>439</v>
      </c>
      <c r="C82" s="173"/>
      <c r="D82" s="173"/>
      <c r="E82" s="173"/>
      <c r="F82" s="457"/>
      <c r="G82" s="173"/>
      <c r="H82" s="173"/>
      <c r="I82" s="173"/>
      <c r="J82" s="173"/>
      <c r="K82" s="173"/>
    </row>
    <row r="83" spans="2:11" x14ac:dyDescent="0.25">
      <c r="B83" s="171" t="s">
        <v>440</v>
      </c>
      <c r="C83" s="173"/>
      <c r="D83" s="173"/>
      <c r="E83" s="173"/>
      <c r="F83" s="457"/>
      <c r="G83" s="173"/>
      <c r="H83" s="173"/>
      <c r="I83" s="173"/>
      <c r="J83" s="173"/>
      <c r="K83" s="173"/>
    </row>
    <row r="84" spans="2:11" x14ac:dyDescent="0.25">
      <c r="B84" s="171" t="s">
        <v>441</v>
      </c>
      <c r="C84" s="173"/>
      <c r="D84" s="173"/>
      <c r="E84" s="173"/>
      <c r="F84" s="457"/>
      <c r="G84" s="173"/>
      <c r="H84" s="173"/>
      <c r="I84" s="173"/>
      <c r="J84" s="173"/>
      <c r="K84" s="173"/>
    </row>
    <row r="85" spans="2:11" x14ac:dyDescent="0.25">
      <c r="B85" s="171" t="s">
        <v>442</v>
      </c>
      <c r="C85" s="173"/>
      <c r="D85" s="173"/>
      <c r="E85" s="173"/>
      <c r="F85" s="457"/>
      <c r="G85" s="173"/>
      <c r="H85" s="173"/>
      <c r="I85" s="173"/>
      <c r="J85" s="173"/>
      <c r="K85" s="173"/>
    </row>
    <row r="86" spans="2:11" x14ac:dyDescent="0.25">
      <c r="B86" s="171" t="s">
        <v>443</v>
      </c>
      <c r="C86" s="173"/>
      <c r="D86" s="173"/>
      <c r="E86" s="173"/>
      <c r="F86" s="457"/>
      <c r="G86" s="173"/>
      <c r="H86" s="173"/>
      <c r="I86" s="173"/>
      <c r="J86" s="173"/>
      <c r="K86" s="173"/>
    </row>
    <row r="87" spans="2:11" x14ac:dyDescent="0.25">
      <c r="B87" s="171" t="s">
        <v>444</v>
      </c>
      <c r="C87" s="173"/>
      <c r="D87" s="173"/>
      <c r="E87" s="173"/>
      <c r="F87" s="457"/>
      <c r="G87" s="173"/>
      <c r="H87" s="173"/>
      <c r="I87" s="173"/>
      <c r="J87" s="173"/>
      <c r="K87" s="173"/>
    </row>
    <row r="88" spans="2:11" x14ac:dyDescent="0.25">
      <c r="B88" s="171" t="s">
        <v>445</v>
      </c>
      <c r="C88" s="173"/>
      <c r="D88" s="173"/>
      <c r="E88" s="173"/>
      <c r="F88" s="457"/>
      <c r="G88" s="173"/>
      <c r="H88" s="173"/>
      <c r="I88" s="173"/>
      <c r="J88" s="173"/>
      <c r="K88" s="173"/>
    </row>
    <row r="89" spans="2:11" x14ac:dyDescent="0.25">
      <c r="B89" s="171" t="s">
        <v>446</v>
      </c>
      <c r="C89" s="173"/>
      <c r="D89" s="173"/>
      <c r="E89" s="173"/>
      <c r="F89" s="457"/>
      <c r="G89" s="173"/>
      <c r="H89" s="173"/>
      <c r="I89" s="173"/>
      <c r="J89" s="173"/>
      <c r="K89" s="173"/>
    </row>
    <row r="90" spans="2:11" x14ac:dyDescent="0.25">
      <c r="B90" s="171" t="s">
        <v>447</v>
      </c>
      <c r="C90" s="173"/>
      <c r="D90" s="173"/>
      <c r="E90" s="173"/>
      <c r="F90" s="457"/>
      <c r="G90" s="173"/>
      <c r="H90" s="173"/>
      <c r="I90" s="173"/>
      <c r="J90" s="173"/>
      <c r="K90" s="173"/>
    </row>
    <row r="91" spans="2:11" x14ac:dyDescent="0.25">
      <c r="B91" s="171" t="s">
        <v>448</v>
      </c>
      <c r="C91" s="173"/>
      <c r="D91" s="173"/>
      <c r="E91" s="173"/>
      <c r="F91" s="457"/>
      <c r="G91" s="173"/>
      <c r="H91" s="173"/>
      <c r="I91" s="173"/>
      <c r="J91" s="173"/>
      <c r="K91" s="173"/>
    </row>
    <row r="92" spans="2:11" x14ac:dyDescent="0.25">
      <c r="B92" s="171" t="s">
        <v>449</v>
      </c>
      <c r="C92" s="173"/>
      <c r="D92" s="173"/>
      <c r="E92" s="173"/>
      <c r="F92" s="457"/>
      <c r="G92" s="173"/>
      <c r="H92" s="173"/>
      <c r="I92" s="173"/>
      <c r="J92" s="173"/>
      <c r="K92" s="173"/>
    </row>
    <row r="93" spans="2:11" x14ac:dyDescent="0.25">
      <c r="B93" s="171" t="s">
        <v>450</v>
      </c>
      <c r="C93" s="173"/>
      <c r="D93" s="173"/>
      <c r="E93" s="173"/>
      <c r="F93" s="457"/>
      <c r="G93" s="173"/>
      <c r="H93" s="173"/>
      <c r="I93" s="173"/>
      <c r="J93" s="173"/>
      <c r="K93" s="173"/>
    </row>
    <row r="94" spans="2:11" x14ac:dyDescent="0.25">
      <c r="B94" s="171" t="s">
        <v>451</v>
      </c>
      <c r="C94" s="173"/>
      <c r="D94" s="173"/>
      <c r="E94" s="173"/>
      <c r="F94" s="457"/>
      <c r="G94" s="173"/>
      <c r="H94" s="173"/>
      <c r="I94" s="173"/>
      <c r="J94" s="173"/>
      <c r="K94" s="173"/>
    </row>
    <row r="95" spans="2:11" x14ac:dyDescent="0.25">
      <c r="B95" s="171" t="s">
        <v>452</v>
      </c>
      <c r="C95" s="173"/>
      <c r="D95" s="173"/>
      <c r="E95" s="173"/>
      <c r="F95" s="457"/>
      <c r="G95" s="173"/>
      <c r="H95" s="173"/>
      <c r="I95" s="173"/>
      <c r="J95" s="173"/>
      <c r="K95" s="173"/>
    </row>
    <row r="96" spans="2:11" x14ac:dyDescent="0.25">
      <c r="B96" s="171" t="s">
        <v>453</v>
      </c>
      <c r="C96" s="173"/>
      <c r="D96" s="173"/>
      <c r="E96" s="173"/>
      <c r="F96" s="457"/>
      <c r="G96" s="173"/>
      <c r="H96" s="173"/>
      <c r="I96" s="173"/>
      <c r="J96" s="173"/>
      <c r="K96" s="173"/>
    </row>
    <row r="97" spans="2:11" x14ac:dyDescent="0.25">
      <c r="B97" s="171" t="s">
        <v>454</v>
      </c>
      <c r="C97" s="173"/>
      <c r="D97" s="173"/>
      <c r="E97" s="173"/>
      <c r="F97" s="457"/>
      <c r="G97" s="173"/>
      <c r="H97" s="173"/>
      <c r="I97" s="173"/>
      <c r="J97" s="173"/>
      <c r="K97" s="173"/>
    </row>
    <row r="98" spans="2:11" x14ac:dyDescent="0.25">
      <c r="B98" s="171" t="s">
        <v>455</v>
      </c>
      <c r="C98" s="173"/>
      <c r="D98" s="173"/>
      <c r="E98" s="173"/>
      <c r="F98" s="457"/>
      <c r="G98" s="173"/>
      <c r="H98" s="173"/>
      <c r="I98" s="173"/>
      <c r="J98" s="173"/>
      <c r="K98" s="173"/>
    </row>
    <row r="99" spans="2:11" x14ac:dyDescent="0.25">
      <c r="B99" s="171" t="s">
        <v>456</v>
      </c>
      <c r="C99" s="173"/>
      <c r="D99" s="173"/>
      <c r="E99" s="173"/>
      <c r="F99" s="457"/>
      <c r="G99" s="173"/>
      <c r="H99" s="173"/>
      <c r="I99" s="173"/>
      <c r="J99" s="173"/>
      <c r="K99" s="173"/>
    </row>
    <row r="100" spans="2:11" x14ac:dyDescent="0.25">
      <c r="B100" s="171" t="s">
        <v>457</v>
      </c>
      <c r="C100" s="173"/>
      <c r="D100" s="173"/>
      <c r="E100" s="173"/>
      <c r="F100" s="457"/>
      <c r="G100" s="173"/>
      <c r="H100" s="173"/>
      <c r="I100" s="173"/>
      <c r="J100" s="173"/>
      <c r="K100" s="173"/>
    </row>
    <row r="101" spans="2:11" x14ac:dyDescent="0.25">
      <c r="B101" s="171" t="s">
        <v>458</v>
      </c>
      <c r="C101" s="173"/>
      <c r="D101" s="173"/>
      <c r="E101" s="173"/>
      <c r="F101" s="457"/>
      <c r="G101" s="173"/>
      <c r="H101" s="173"/>
      <c r="I101" s="173"/>
      <c r="J101" s="173"/>
      <c r="K101" s="173"/>
    </row>
    <row r="102" spans="2:11" x14ac:dyDescent="0.25">
      <c r="B102" s="171" t="s">
        <v>459</v>
      </c>
      <c r="C102" s="173"/>
      <c r="D102" s="173"/>
      <c r="E102" s="173"/>
      <c r="F102" s="457"/>
      <c r="G102" s="173"/>
      <c r="H102" s="173"/>
      <c r="I102" s="173"/>
      <c r="J102" s="173"/>
      <c r="K102" s="173"/>
    </row>
    <row r="103" spans="2:11" x14ac:dyDescent="0.25">
      <c r="B103" s="171" t="s">
        <v>460</v>
      </c>
      <c r="C103" s="173"/>
      <c r="D103" s="173"/>
      <c r="E103" s="173"/>
      <c r="F103" s="457"/>
      <c r="G103" s="173"/>
      <c r="H103" s="173"/>
      <c r="I103" s="173"/>
      <c r="J103" s="173"/>
      <c r="K103" s="173"/>
    </row>
    <row r="104" spans="2:11" x14ac:dyDescent="0.25">
      <c r="B104" s="171" t="s">
        <v>461</v>
      </c>
      <c r="C104" s="173"/>
      <c r="D104" s="173"/>
      <c r="E104" s="173"/>
      <c r="F104" s="457"/>
      <c r="G104" s="173"/>
      <c r="H104" s="173"/>
      <c r="I104" s="173"/>
      <c r="J104" s="173"/>
      <c r="K104" s="173"/>
    </row>
    <row r="105" spans="2:11" x14ac:dyDescent="0.25">
      <c r="B105" s="171" t="s">
        <v>462</v>
      </c>
      <c r="C105" s="173"/>
      <c r="D105" s="173"/>
      <c r="E105" s="173"/>
      <c r="F105" s="457"/>
      <c r="G105" s="173"/>
      <c r="H105" s="173"/>
      <c r="I105" s="173"/>
      <c r="J105" s="173"/>
      <c r="K105" s="173"/>
    </row>
    <row r="106" spans="2:11" x14ac:dyDescent="0.25">
      <c r="B106" s="171" t="s">
        <v>463</v>
      </c>
      <c r="C106" s="173"/>
      <c r="D106" s="173"/>
      <c r="E106" s="173"/>
      <c r="F106" s="457"/>
      <c r="G106" s="173"/>
      <c r="H106" s="173"/>
      <c r="I106" s="173"/>
      <c r="J106" s="173"/>
      <c r="K106" s="173"/>
    </row>
    <row r="107" spans="2:11" x14ac:dyDescent="0.25">
      <c r="B107" s="171" t="s">
        <v>464</v>
      </c>
      <c r="C107" s="173"/>
      <c r="D107" s="173"/>
      <c r="E107" s="173"/>
      <c r="F107" s="457"/>
      <c r="G107" s="173"/>
      <c r="H107" s="173"/>
      <c r="I107" s="173"/>
      <c r="J107" s="173"/>
      <c r="K107" s="173"/>
    </row>
    <row r="108" spans="2:11" x14ac:dyDescent="0.25">
      <c r="B108" s="171" t="s">
        <v>465</v>
      </c>
      <c r="C108" s="173"/>
      <c r="D108" s="173"/>
      <c r="E108" s="173"/>
      <c r="F108" s="457"/>
      <c r="G108" s="173"/>
      <c r="H108" s="173"/>
      <c r="I108" s="173"/>
      <c r="J108" s="173"/>
      <c r="K108" s="173"/>
    </row>
    <row r="109" spans="2:11" x14ac:dyDescent="0.25">
      <c r="B109" s="171" t="s">
        <v>466</v>
      </c>
      <c r="C109" s="173"/>
      <c r="D109" s="173"/>
      <c r="E109" s="173"/>
      <c r="F109" s="457"/>
      <c r="G109" s="173"/>
      <c r="H109" s="173"/>
      <c r="I109" s="173"/>
      <c r="J109" s="173"/>
      <c r="K109" s="173"/>
    </row>
    <row r="110" spans="2:11" x14ac:dyDescent="0.25">
      <c r="B110" s="171" t="s">
        <v>467</v>
      </c>
      <c r="C110" s="173"/>
      <c r="D110" s="173"/>
      <c r="E110" s="173"/>
      <c r="F110" s="457"/>
      <c r="G110" s="173"/>
      <c r="H110" s="173"/>
      <c r="I110" s="173"/>
      <c r="J110" s="173"/>
      <c r="K110" s="173"/>
    </row>
    <row r="111" spans="2:11" x14ac:dyDescent="0.25">
      <c r="B111" s="171" t="s">
        <v>468</v>
      </c>
      <c r="C111" s="173"/>
      <c r="D111" s="173"/>
      <c r="E111" s="173"/>
      <c r="F111" s="457"/>
      <c r="G111" s="173"/>
      <c r="H111" s="173"/>
      <c r="I111" s="173"/>
      <c r="J111" s="173"/>
      <c r="K111" s="173"/>
    </row>
    <row r="112" spans="2:11" x14ac:dyDescent="0.25">
      <c r="B112" s="171" t="s">
        <v>469</v>
      </c>
      <c r="C112" s="173"/>
      <c r="D112" s="173"/>
      <c r="E112" s="173"/>
      <c r="F112" s="457"/>
      <c r="G112" s="173"/>
      <c r="H112" s="173"/>
      <c r="I112" s="173"/>
      <c r="J112" s="173"/>
      <c r="K112" s="173"/>
    </row>
  </sheetData>
  <sheetProtection algorithmName="SHA-512" hashValue="n4o465PpsSzpzk9wfGt5YfzkFfFPdQV33fHqkwy2yisncwjahGS1yJl1Mlb4nRv+qmefV8TxBBuvXw7CxGeLXQ==" saltValue="hR/v0b3GcK4cvI5aDxBsYw==" spinCount="100000" sheet="1" objects="1" scenarios="1" selectLockedCells="1"/>
  <mergeCells count="54">
    <mergeCell ref="B1:K1"/>
    <mergeCell ref="C2:K2"/>
    <mergeCell ref="C3:K3"/>
    <mergeCell ref="C4:K4"/>
    <mergeCell ref="C5:K5"/>
    <mergeCell ref="C6:K6"/>
    <mergeCell ref="C7:K7"/>
    <mergeCell ref="C14:K14"/>
    <mergeCell ref="B17:B22"/>
    <mergeCell ref="D34:E34"/>
    <mergeCell ref="C28:K28"/>
    <mergeCell ref="C29:K29"/>
    <mergeCell ref="B31:K31"/>
    <mergeCell ref="B9:K9"/>
    <mergeCell ref="C10:K10"/>
    <mergeCell ref="C11:K11"/>
    <mergeCell ref="C12:K12"/>
    <mergeCell ref="C13:K13"/>
    <mergeCell ref="C21:F21"/>
    <mergeCell ref="C22:F22"/>
    <mergeCell ref="B16:K16"/>
    <mergeCell ref="H37:K44"/>
    <mergeCell ref="B46:K46"/>
    <mergeCell ref="B24:K24"/>
    <mergeCell ref="C25:K25"/>
    <mergeCell ref="C26:K26"/>
    <mergeCell ref="C27:K27"/>
    <mergeCell ref="D35:E35"/>
    <mergeCell ref="D36:E36"/>
    <mergeCell ref="B32:E32"/>
    <mergeCell ref="F32:K32"/>
    <mergeCell ref="F33:K33"/>
    <mergeCell ref="F34:K34"/>
    <mergeCell ref="F35:K35"/>
    <mergeCell ref="F36:K36"/>
    <mergeCell ref="B33:C36"/>
    <mergeCell ref="D33:E33"/>
    <mergeCell ref="C17:F17"/>
    <mergeCell ref="C18:F18"/>
    <mergeCell ref="C19:F19"/>
    <mergeCell ref="C20:F20"/>
    <mergeCell ref="B37:C44"/>
    <mergeCell ref="G22:H22"/>
    <mergeCell ref="I17:K17"/>
    <mergeCell ref="I18:K18"/>
    <mergeCell ref="I19:K19"/>
    <mergeCell ref="I20:K20"/>
    <mergeCell ref="I21:K21"/>
    <mergeCell ref="I22:K22"/>
    <mergeCell ref="G21:H21"/>
    <mergeCell ref="G17:H17"/>
    <mergeCell ref="G18:H18"/>
    <mergeCell ref="G19:H19"/>
    <mergeCell ref="G20:H20"/>
  </mergeCells>
  <conditionalFormatting sqref="C2:C7 C25:C26 C28:C29">
    <cfRule type="containsBlanks" dxfId="11" priority="11">
      <formula>LEN(TRIM(C2))=0</formula>
    </cfRule>
  </conditionalFormatting>
  <conditionalFormatting sqref="C27">
    <cfRule type="containsBlanks" dxfId="10" priority="8">
      <formula>LEN(TRIM(C27))=0</formula>
    </cfRule>
  </conditionalFormatting>
  <conditionalFormatting sqref="C27 C5:C7">
    <cfRule type="containsText" dxfId="9" priority="7" operator="containsText" text="JJ/MM/AAAA">
      <formula>NOT(ISERROR(SEARCH("JJ/MM/AAAA",C5)))</formula>
    </cfRule>
  </conditionalFormatting>
  <conditionalFormatting sqref="C10">
    <cfRule type="containsBlanks" dxfId="8" priority="6">
      <formula>LEN(TRIM(C10))=0</formula>
    </cfRule>
  </conditionalFormatting>
  <conditionalFormatting sqref="C12">
    <cfRule type="containsText" dxfId="7" priority="3" operator="containsText" text="JJ/MM/AAAA">
      <formula>NOT(ISERROR(SEARCH("JJ/MM/AAAA",C12)))</formula>
    </cfRule>
  </conditionalFormatting>
  <conditionalFormatting sqref="I17:K22">
    <cfRule type="cellIs" dxfId="6" priority="2" operator="equal">
      <formula>"JJ/MM/AAAA"</formula>
    </cfRule>
  </conditionalFormatting>
  <conditionalFormatting sqref="C17:F22">
    <cfRule type="containsBlanks" dxfId="5" priority="1">
      <formula>LEN(TRIM(C17))=0</formula>
    </cfRule>
  </conditionalFormatting>
  <dataValidations count="11">
    <dataValidation type="list" allowBlank="1" showInputMessage="1" showErrorMessage="1" sqref="C4">
      <formula1>Genre</formula1>
    </dataValidation>
    <dataValidation type="list" allowBlank="1" showInputMessage="1" showErrorMessage="1" sqref="C25">
      <formula1>Medecins</formula1>
    </dataValidation>
    <dataValidation type="list" allowBlank="1" showInputMessage="1" showErrorMessage="1" sqref="C26">
      <formula1>Operateurs</formula1>
    </dataValidation>
    <dataValidation type="list" allowBlank="1" showInputMessage="1" showErrorMessage="1" sqref="C28">
      <formula1>Motif</formula1>
    </dataValidation>
    <dataValidation type="list" allowBlank="1" showInputMessage="1" showErrorMessage="1" sqref="E37:E44">
      <formula1>EMG_gauche</formula1>
    </dataValidation>
    <dataValidation type="list" allowBlank="1" showInputMessage="1" showErrorMessage="1" sqref="F37:F44">
      <formula1>EMG_droit</formula1>
    </dataValidation>
    <dataValidation type="list" allowBlank="1" showInputMessage="1" showErrorMessage="1" sqref="F32:K32">
      <formula1>Terrain_de_marche</formula1>
    </dataValidation>
    <dataValidation type="list" allowBlank="1" showInputMessage="1" showErrorMessage="1" sqref="C58:D112">
      <formula1>Plateformes</formula1>
    </dataValidation>
    <dataValidation type="list" allowBlank="1" showInputMessage="1" showErrorMessage="1" sqref="C10">
      <formula1>Pathologie</formula1>
    </dataValidation>
    <dataValidation type="list" allowBlank="1" showInputMessage="1" showErrorMessage="1" sqref="C13:K13">
      <formula1>Type_accident</formula1>
    </dataValidation>
    <dataValidation type="list" allowBlank="1" showInputMessage="1" showErrorMessage="1" sqref="C14:K15">
      <formula1>Cote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mpression1">
                <anchor moveWithCells="1" sizeWithCells="1">
                  <from>
                    <xdr:col>12</xdr:col>
                    <xdr:colOff>7620</xdr:colOff>
                    <xdr:row>1</xdr:row>
                    <xdr:rowOff>0</xdr:rowOff>
                  </from>
                  <to>
                    <xdr:col>14</xdr:col>
                    <xdr:colOff>708660</xdr:colOff>
                    <xdr:row>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listes!$F$2:$F$4</xm:f>
          </x14:formula1>
          <xm:sqref>F33:K36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H30"/>
  <sheetViews>
    <sheetView zoomScaleNormal="100" workbookViewId="0">
      <selection activeCell="B27" sqref="B27:H27"/>
    </sheetView>
  </sheetViews>
  <sheetFormatPr baseColWidth="10" defaultRowHeight="13.8" x14ac:dyDescent="0.25"/>
  <cols>
    <col min="1" max="1" width="7" style="1" customWidth="1"/>
    <col min="2" max="2" width="13.109375" style="1" customWidth="1"/>
    <col min="3" max="7" width="11.5546875" style="1"/>
    <col min="8" max="8" width="12.21875" style="1" customWidth="1"/>
    <col min="9" max="16384" width="11.5546875" style="1"/>
  </cols>
  <sheetData>
    <row r="1" spans="2:8" ht="14.4" thickBot="1" x14ac:dyDescent="0.3">
      <c r="B1" s="195" t="s">
        <v>4</v>
      </c>
      <c r="C1" s="196"/>
      <c r="D1" s="196"/>
      <c r="E1" s="196"/>
      <c r="F1" s="196"/>
      <c r="G1" s="196"/>
      <c r="H1" s="197"/>
    </row>
    <row r="2" spans="2:8" x14ac:dyDescent="0.25">
      <c r="B2" s="97" t="s">
        <v>5</v>
      </c>
      <c r="C2" s="236">
        <f>Protocole!C2</f>
        <v>0</v>
      </c>
      <c r="D2" s="236"/>
      <c r="E2" s="236"/>
      <c r="F2" s="236"/>
      <c r="G2" s="236"/>
      <c r="H2" s="237"/>
    </row>
    <row r="3" spans="2:8" x14ac:dyDescent="0.25">
      <c r="B3" s="98" t="s">
        <v>6</v>
      </c>
      <c r="C3" s="242">
        <f>Protocole!C3</f>
        <v>0</v>
      </c>
      <c r="D3" s="242"/>
      <c r="E3" s="242"/>
      <c r="F3" s="242"/>
      <c r="G3" s="242"/>
      <c r="H3" s="243"/>
    </row>
    <row r="4" spans="2:8" x14ac:dyDescent="0.25">
      <c r="B4" s="98" t="s">
        <v>7</v>
      </c>
      <c r="C4" s="242">
        <f>Protocole!C4</f>
        <v>0</v>
      </c>
      <c r="D4" s="242"/>
      <c r="E4" s="242"/>
      <c r="F4" s="242"/>
      <c r="G4" s="242"/>
      <c r="H4" s="243"/>
    </row>
    <row r="5" spans="2:8" x14ac:dyDescent="0.25">
      <c r="B5" s="98" t="s">
        <v>14</v>
      </c>
      <c r="C5" s="244" t="e">
        <f>INT(_xlfn.DAYS(Protocole!C27,Protocole!C5)/365.25)</f>
        <v>#VALUE!</v>
      </c>
      <c r="D5" s="244"/>
      <c r="E5" s="244"/>
      <c r="F5" s="244"/>
      <c r="G5" s="244"/>
      <c r="H5" s="245"/>
    </row>
    <row r="6" spans="2:8" ht="14.4" thickBot="1" x14ac:dyDescent="0.3">
      <c r="B6" s="99" t="s">
        <v>17</v>
      </c>
      <c r="C6" s="246">
        <f>Protocole!C10</f>
        <v>0</v>
      </c>
      <c r="D6" s="246"/>
      <c r="E6" s="246"/>
      <c r="F6" s="246"/>
      <c r="G6" s="246"/>
      <c r="H6" s="247"/>
    </row>
    <row r="7" spans="2:8" ht="10.050000000000001" customHeight="1" thickBot="1" x14ac:dyDescent="0.3">
      <c r="B7" s="100"/>
      <c r="C7" s="100"/>
      <c r="D7" s="100"/>
      <c r="E7" s="100"/>
      <c r="F7" s="100"/>
      <c r="G7" s="100"/>
      <c r="H7" s="100"/>
    </row>
    <row r="8" spans="2:8" ht="14.4" thickBot="1" x14ac:dyDescent="0.3">
      <c r="B8" s="195" t="s">
        <v>9</v>
      </c>
      <c r="C8" s="196"/>
      <c r="D8" s="196"/>
      <c r="E8" s="196"/>
      <c r="F8" s="196"/>
      <c r="G8" s="196"/>
      <c r="H8" s="197"/>
    </row>
    <row r="9" spans="2:8" x14ac:dyDescent="0.25">
      <c r="B9" s="101" t="s">
        <v>1</v>
      </c>
      <c r="C9" s="234">
        <f>Protocole!C25</f>
        <v>0</v>
      </c>
      <c r="D9" s="234"/>
      <c r="E9" s="234"/>
      <c r="F9" s="234"/>
      <c r="G9" s="234"/>
      <c r="H9" s="235"/>
    </row>
    <row r="10" spans="2:8" x14ac:dyDescent="0.25">
      <c r="B10" s="102" t="s">
        <v>10</v>
      </c>
      <c r="C10" s="236">
        <f>Protocole!C26</f>
        <v>0</v>
      </c>
      <c r="D10" s="236"/>
      <c r="E10" s="236"/>
      <c r="F10" s="236"/>
      <c r="G10" s="236"/>
      <c r="H10" s="237"/>
    </row>
    <row r="11" spans="2:8" x14ac:dyDescent="0.25">
      <c r="B11" s="102" t="s">
        <v>0</v>
      </c>
      <c r="C11" s="238" t="str">
        <f>Protocole!C27</f>
        <v>JJ/MM/AAAA</v>
      </c>
      <c r="D11" s="238"/>
      <c r="E11" s="238"/>
      <c r="F11" s="238"/>
      <c r="G11" s="238"/>
      <c r="H11" s="239"/>
    </row>
    <row r="12" spans="2:8" x14ac:dyDescent="0.25">
      <c r="B12" s="102" t="s">
        <v>11</v>
      </c>
      <c r="C12" s="236">
        <f>Protocole!C28</f>
        <v>0</v>
      </c>
      <c r="D12" s="236"/>
      <c r="E12" s="236"/>
      <c r="F12" s="236"/>
      <c r="G12" s="236"/>
      <c r="H12" s="237"/>
    </row>
    <row r="13" spans="2:8" ht="76.8" customHeight="1" thickBot="1" x14ac:dyDescent="0.3">
      <c r="B13" s="103" t="s">
        <v>25</v>
      </c>
      <c r="C13" s="240">
        <f>Protocole!C29</f>
        <v>0</v>
      </c>
      <c r="D13" s="240"/>
      <c r="E13" s="240"/>
      <c r="F13" s="240"/>
      <c r="G13" s="240"/>
      <c r="H13" s="241"/>
    </row>
    <row r="14" spans="2:8" ht="10.050000000000001" customHeight="1" thickBot="1" x14ac:dyDescent="0.3">
      <c r="B14" s="100"/>
      <c r="C14" s="100"/>
      <c r="D14" s="100"/>
      <c r="E14" s="100"/>
      <c r="F14" s="100"/>
      <c r="G14" s="100"/>
      <c r="H14" s="100"/>
    </row>
    <row r="15" spans="2:8" ht="14.4" thickBot="1" x14ac:dyDescent="0.3">
      <c r="B15" s="195" t="s">
        <v>12</v>
      </c>
      <c r="C15" s="196"/>
      <c r="D15" s="196"/>
      <c r="E15" s="196"/>
      <c r="F15" s="196"/>
      <c r="G15" s="196"/>
      <c r="H15" s="197"/>
    </row>
    <row r="16" spans="2:8" ht="7.95" customHeight="1" x14ac:dyDescent="0.25">
      <c r="B16" s="248"/>
      <c r="C16" s="248"/>
      <c r="D16" s="248"/>
      <c r="E16" s="248"/>
      <c r="F16" s="248"/>
      <c r="G16" s="248"/>
      <c r="H16" s="248"/>
    </row>
    <row r="17" spans="2:8" x14ac:dyDescent="0.25">
      <c r="B17" s="233" t="s">
        <v>13</v>
      </c>
      <c r="C17" s="233"/>
      <c r="D17" s="233"/>
      <c r="E17" s="233"/>
      <c r="F17" s="233"/>
      <c r="G17" s="233"/>
      <c r="H17" s="233"/>
    </row>
    <row r="18" spans="2:8" x14ac:dyDescent="0.25">
      <c r="B18" s="250" t="s">
        <v>39</v>
      </c>
      <c r="C18" s="251"/>
      <c r="D18" s="251"/>
      <c r="E18" s="251"/>
      <c r="F18" s="252"/>
      <c r="G18" s="104" t="s">
        <v>15</v>
      </c>
      <c r="H18" s="104" t="s">
        <v>43</v>
      </c>
    </row>
    <row r="19" spans="2:8" x14ac:dyDescent="0.25">
      <c r="B19" s="253" t="str">
        <f>'Evidence (0)'!C3</f>
        <v>NA</v>
      </c>
      <c r="C19" s="254"/>
      <c r="D19" s="254"/>
      <c r="E19" s="254"/>
      <c r="F19" s="255"/>
      <c r="G19" s="105">
        <f>'Evidence (0)'!F3</f>
        <v>0</v>
      </c>
      <c r="H19" s="105">
        <f>'Evidence (0)'!H3</f>
        <v>0</v>
      </c>
    </row>
    <row r="20" spans="2:8" x14ac:dyDescent="0.25">
      <c r="B20" s="253" t="str">
        <f>'Evidence (0)'!C28</f>
        <v>NA</v>
      </c>
      <c r="C20" s="254"/>
      <c r="D20" s="254"/>
      <c r="E20" s="254"/>
      <c r="F20" s="255"/>
      <c r="G20" s="105">
        <f>'Evidence (0)'!F28</f>
        <v>0</v>
      </c>
      <c r="H20" s="105">
        <f>'Evidence (0)'!H28</f>
        <v>0</v>
      </c>
    </row>
    <row r="21" spans="2:8" x14ac:dyDescent="0.25">
      <c r="B21" s="253" t="str">
        <f>'Evidence (1)'!C3</f>
        <v>NA</v>
      </c>
      <c r="C21" s="254"/>
      <c r="D21" s="254"/>
      <c r="E21" s="254"/>
      <c r="F21" s="255"/>
      <c r="G21" s="105">
        <f>'Evidence (1)'!F3</f>
        <v>0</v>
      </c>
      <c r="H21" s="105">
        <f>'Evidence (1)'!H3</f>
        <v>0</v>
      </c>
    </row>
    <row r="22" spans="2:8" x14ac:dyDescent="0.25">
      <c r="B22" s="253" t="str">
        <f>'Evidence (1)'!C28</f>
        <v>NA</v>
      </c>
      <c r="C22" s="254"/>
      <c r="D22" s="254"/>
      <c r="E22" s="254"/>
      <c r="F22" s="255"/>
      <c r="G22" s="105">
        <v>0</v>
      </c>
      <c r="H22" s="105">
        <v>0</v>
      </c>
    </row>
    <row r="23" spans="2:8" x14ac:dyDescent="0.25">
      <c r="B23" s="253" t="str">
        <f>'Evidence (2)'!C3</f>
        <v>NA</v>
      </c>
      <c r="C23" s="254"/>
      <c r="D23" s="254"/>
      <c r="E23" s="254"/>
      <c r="F23" s="255"/>
      <c r="G23" s="105">
        <f>'Evidence (2)'!F3</f>
        <v>0</v>
      </c>
      <c r="H23" s="105">
        <f>'Evidence (2)'!H3</f>
        <v>0</v>
      </c>
    </row>
    <row r="24" spans="2:8" x14ac:dyDescent="0.25">
      <c r="B24" s="253" t="str">
        <f>'Evidence (2)'!C28</f>
        <v>NA</v>
      </c>
      <c r="C24" s="254"/>
      <c r="D24" s="254"/>
      <c r="E24" s="254"/>
      <c r="F24" s="255"/>
      <c r="G24" s="105">
        <f>'Evidence (2)'!F28</f>
        <v>0</v>
      </c>
      <c r="H24" s="105">
        <f>'Evidence (2)'!H28</f>
        <v>0</v>
      </c>
    </row>
    <row r="25" spans="2:8" ht="7.95" customHeight="1" x14ac:dyDescent="0.25">
      <c r="B25" s="257"/>
      <c r="C25" s="257"/>
      <c r="D25" s="257"/>
      <c r="E25" s="257"/>
      <c r="F25" s="257"/>
      <c r="G25" s="257"/>
      <c r="H25" s="257"/>
    </row>
    <row r="26" spans="2:8" x14ac:dyDescent="0.25">
      <c r="B26" s="188" t="s">
        <v>23</v>
      </c>
      <c r="C26" s="188"/>
      <c r="D26" s="188"/>
      <c r="E26" s="188"/>
      <c r="F26" s="188"/>
      <c r="G26" s="188"/>
      <c r="H26" s="188"/>
    </row>
    <row r="27" spans="2:8" ht="169.8" customHeight="1" x14ac:dyDescent="0.25">
      <c r="B27" s="256"/>
      <c r="C27" s="256"/>
      <c r="D27" s="256"/>
      <c r="E27" s="256"/>
      <c r="F27" s="256"/>
      <c r="G27" s="256"/>
      <c r="H27" s="256"/>
    </row>
    <row r="28" spans="2:8" ht="10.050000000000001" customHeight="1" x14ac:dyDescent="0.25"/>
    <row r="29" spans="2:8" x14ac:dyDescent="0.25">
      <c r="B29" s="6" t="s">
        <v>24</v>
      </c>
      <c r="C29" s="7"/>
      <c r="D29" s="7"/>
      <c r="E29" s="7"/>
      <c r="F29" s="7"/>
      <c r="G29" s="7"/>
      <c r="H29" s="7"/>
    </row>
    <row r="30" spans="2:8" ht="82.8" customHeight="1" x14ac:dyDescent="0.25">
      <c r="B30" s="249" t="s">
        <v>409</v>
      </c>
      <c r="C30" s="249"/>
      <c r="D30" s="249"/>
      <c r="E30" s="249"/>
      <c r="F30" s="249"/>
      <c r="G30" s="249"/>
      <c r="H30" s="249"/>
    </row>
  </sheetData>
  <sheetProtection algorithmName="SHA-512" hashValue="HuDVyyV0T0nt/mnHALa6pyrR+KRgbieHvf/u62GkUKTBEEIukuSWMQtvNip8uyrlSkF6LhX4EnXz+lINxUUFEQ==" saltValue="guZtCfvBUktPCRQFym3p0A==" spinCount="100000" sheet="1" objects="1" scenarios="1" selectLockedCells="1"/>
  <mergeCells count="26">
    <mergeCell ref="B30:H30"/>
    <mergeCell ref="B18:F18"/>
    <mergeCell ref="B19:F19"/>
    <mergeCell ref="B20:F20"/>
    <mergeCell ref="B21:F21"/>
    <mergeCell ref="B22:F22"/>
    <mergeCell ref="B23:F23"/>
    <mergeCell ref="B24:F24"/>
    <mergeCell ref="B26:H26"/>
    <mergeCell ref="B27:H27"/>
    <mergeCell ref="B25:H25"/>
    <mergeCell ref="B1:H1"/>
    <mergeCell ref="B8:H8"/>
    <mergeCell ref="B17:H17"/>
    <mergeCell ref="C9:H9"/>
    <mergeCell ref="C10:H10"/>
    <mergeCell ref="C11:H11"/>
    <mergeCell ref="C12:H12"/>
    <mergeCell ref="C13:H13"/>
    <mergeCell ref="C2:H2"/>
    <mergeCell ref="C3:H3"/>
    <mergeCell ref="C4:H4"/>
    <mergeCell ref="C5:H5"/>
    <mergeCell ref="C6:H6"/>
    <mergeCell ref="B15:H15"/>
    <mergeCell ref="B16:H16"/>
  </mergeCells>
  <conditionalFormatting sqref="B19:H24">
    <cfRule type="containsBlanks" dxfId="4" priority="5">
      <formula>LEN(TRIM(B19))=0</formula>
    </cfRule>
  </conditionalFormatting>
  <conditionalFormatting sqref="B27:H27">
    <cfRule type="containsBlanks" dxfId="3" priority="4">
      <formula>LEN(TRIM(B27))=0</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H27"/>
  <sheetViews>
    <sheetView topLeftCell="A3" zoomScaleNormal="100" workbookViewId="0">
      <selection activeCell="C14" sqref="C14:D14"/>
    </sheetView>
  </sheetViews>
  <sheetFormatPr baseColWidth="10" defaultRowHeight="13.8" x14ac:dyDescent="0.25"/>
  <cols>
    <col min="1" max="1" width="7" style="1" customWidth="1"/>
    <col min="2" max="2" width="18.33203125" style="1" customWidth="1"/>
    <col min="3" max="3" width="8.109375" style="1" customWidth="1"/>
    <col min="4" max="4" width="7.44140625" style="1" customWidth="1"/>
    <col min="5" max="5" width="11.5546875" style="1"/>
    <col min="6" max="6" width="16.33203125" style="1" customWidth="1"/>
    <col min="7" max="7" width="7.21875" style="1" customWidth="1"/>
    <col min="8" max="8" width="13.88671875" style="1" customWidth="1"/>
    <col min="9" max="16384" width="11.5546875" style="1"/>
  </cols>
  <sheetData>
    <row r="1" spans="2:8" ht="14.4" thickBot="1" x14ac:dyDescent="0.3">
      <c r="B1" s="262" t="s">
        <v>3</v>
      </c>
      <c r="C1" s="263"/>
      <c r="D1" s="263"/>
      <c r="E1" s="263"/>
      <c r="F1" s="263"/>
      <c r="G1" s="263"/>
      <c r="H1" s="264"/>
    </row>
    <row r="2" spans="2:8" ht="7.95" customHeight="1" x14ac:dyDescent="0.25">
      <c r="B2" s="10"/>
      <c r="C2" s="11"/>
      <c r="D2" s="11"/>
      <c r="E2" s="11"/>
      <c r="F2" s="11"/>
      <c r="G2" s="11"/>
      <c r="H2" s="11"/>
    </row>
    <row r="3" spans="2:8" ht="98.4" customHeight="1" x14ac:dyDescent="0.25">
      <c r="B3" s="8" t="s">
        <v>66</v>
      </c>
      <c r="C3" s="256"/>
      <c r="D3" s="256"/>
      <c r="E3" s="256"/>
      <c r="F3" s="256"/>
      <c r="G3" s="256"/>
      <c r="H3" s="256"/>
    </row>
    <row r="4" spans="2:8" ht="13.8" customHeight="1" x14ac:dyDescent="0.25">
      <c r="B4" s="269" t="s">
        <v>27</v>
      </c>
      <c r="C4" s="272" t="str">
        <f>Protocole!C17</f>
        <v>NA</v>
      </c>
      <c r="D4" s="273"/>
      <c r="E4" s="273"/>
      <c r="F4" s="274"/>
      <c r="G4" s="106" t="s">
        <v>28</v>
      </c>
      <c r="H4" s="175" t="str">
        <f>Protocole!I17</f>
        <v>JJ/MM/AAAA</v>
      </c>
    </row>
    <row r="5" spans="2:8" x14ac:dyDescent="0.25">
      <c r="B5" s="270"/>
      <c r="C5" s="272" t="str">
        <f>Protocole!C18</f>
        <v>NA</v>
      </c>
      <c r="D5" s="273"/>
      <c r="E5" s="273"/>
      <c r="F5" s="274"/>
      <c r="G5" s="106" t="s">
        <v>28</v>
      </c>
      <c r="H5" s="175" t="str">
        <f>Protocole!I18</f>
        <v>JJ/MM/AAAA</v>
      </c>
    </row>
    <row r="6" spans="2:8" x14ac:dyDescent="0.25">
      <c r="B6" s="270"/>
      <c r="C6" s="272" t="str">
        <f>Protocole!C19</f>
        <v>NA</v>
      </c>
      <c r="D6" s="273"/>
      <c r="E6" s="273"/>
      <c r="F6" s="274"/>
      <c r="G6" s="106" t="s">
        <v>28</v>
      </c>
      <c r="H6" s="175" t="str">
        <f>Protocole!I19</f>
        <v>JJ/MM/AAAA</v>
      </c>
    </row>
    <row r="7" spans="2:8" x14ac:dyDescent="0.25">
      <c r="B7" s="270"/>
      <c r="C7" s="272" t="str">
        <f>Protocole!C20</f>
        <v>NA</v>
      </c>
      <c r="D7" s="273"/>
      <c r="E7" s="273"/>
      <c r="F7" s="274"/>
      <c r="G7" s="106" t="s">
        <v>28</v>
      </c>
      <c r="H7" s="175" t="str">
        <f>Protocole!I20</f>
        <v>JJ/MM/AAAA</v>
      </c>
    </row>
    <row r="8" spans="2:8" x14ac:dyDescent="0.25">
      <c r="B8" s="270"/>
      <c r="C8" s="272" t="str">
        <f>Protocole!C21</f>
        <v>NA</v>
      </c>
      <c r="D8" s="273"/>
      <c r="E8" s="273"/>
      <c r="F8" s="274"/>
      <c r="G8" s="106" t="s">
        <v>28</v>
      </c>
      <c r="H8" s="175" t="str">
        <f>Protocole!I21</f>
        <v>JJ/MM/AAAA</v>
      </c>
    </row>
    <row r="9" spans="2:8" x14ac:dyDescent="0.25">
      <c r="B9" s="271"/>
      <c r="C9" s="272" t="str">
        <f>Protocole!C22</f>
        <v>NA</v>
      </c>
      <c r="D9" s="273"/>
      <c r="E9" s="273"/>
      <c r="F9" s="274"/>
      <c r="G9" s="106" t="s">
        <v>28</v>
      </c>
      <c r="H9" s="175" t="str">
        <f>Protocole!I22</f>
        <v>JJ/MM/AAAA</v>
      </c>
    </row>
    <row r="10" spans="2:8" ht="7.95" customHeight="1" x14ac:dyDescent="0.25"/>
    <row r="11" spans="2:8" x14ac:dyDescent="0.25">
      <c r="B11" s="9" t="s">
        <v>31</v>
      </c>
      <c r="C11" s="266">
        <f>Protocole!C7</f>
        <v>0</v>
      </c>
      <c r="D11" s="266"/>
      <c r="E11" s="265" t="s">
        <v>61</v>
      </c>
      <c r="F11" s="265"/>
      <c r="G11" s="261"/>
      <c r="H11" s="261"/>
    </row>
    <row r="12" spans="2:8" x14ac:dyDescent="0.25">
      <c r="B12" s="9" t="s">
        <v>32</v>
      </c>
      <c r="C12" s="266">
        <f>Protocole!C6</f>
        <v>0</v>
      </c>
      <c r="D12" s="266"/>
      <c r="E12" s="267" t="s">
        <v>62</v>
      </c>
      <c r="F12" s="268"/>
      <c r="G12" s="261"/>
      <c r="H12" s="261"/>
    </row>
    <row r="13" spans="2:8" x14ac:dyDescent="0.25">
      <c r="B13" s="9" t="s">
        <v>370</v>
      </c>
      <c r="C13" s="266" t="e">
        <f>C12/(C11/100*C11/100)</f>
        <v>#DIV/0!</v>
      </c>
      <c r="D13" s="266"/>
      <c r="E13" s="265" t="s">
        <v>29</v>
      </c>
      <c r="F13" s="265"/>
      <c r="G13" s="261"/>
      <c r="H13" s="261"/>
    </row>
    <row r="14" spans="2:8" x14ac:dyDescent="0.25">
      <c r="B14" s="5" t="s">
        <v>33</v>
      </c>
      <c r="C14" s="186"/>
      <c r="D14" s="186"/>
      <c r="E14" s="4" t="s">
        <v>30</v>
      </c>
      <c r="F14" s="4"/>
      <c r="G14" s="261"/>
      <c r="H14" s="261"/>
    </row>
    <row r="15" spans="2:8" ht="7.95" customHeight="1" x14ac:dyDescent="0.25"/>
    <row r="16" spans="2:8" ht="124.8" customHeight="1" x14ac:dyDescent="0.25">
      <c r="B16" s="8" t="s">
        <v>34</v>
      </c>
      <c r="C16" s="256"/>
      <c r="D16" s="256"/>
      <c r="E16" s="256"/>
      <c r="F16" s="256"/>
      <c r="G16" s="256"/>
      <c r="H16" s="256"/>
    </row>
    <row r="17" spans="2:8" ht="14.4" thickBot="1" x14ac:dyDescent="0.3"/>
    <row r="18" spans="2:8" ht="15" customHeight="1" thickBot="1" x14ac:dyDescent="0.3">
      <c r="B18" s="262" t="s">
        <v>35</v>
      </c>
      <c r="C18" s="263"/>
      <c r="D18" s="263"/>
      <c r="E18" s="263"/>
      <c r="F18" s="263"/>
      <c r="G18" s="263"/>
      <c r="H18" s="264"/>
    </row>
    <row r="19" spans="2:8" ht="7.95" customHeight="1" x14ac:dyDescent="0.25">
      <c r="B19" s="10"/>
      <c r="C19" s="11"/>
      <c r="D19" s="11"/>
      <c r="E19" s="11"/>
      <c r="F19" s="11"/>
      <c r="G19" s="11"/>
      <c r="H19" s="11"/>
    </row>
    <row r="20" spans="2:8" ht="30" customHeight="1" x14ac:dyDescent="0.25">
      <c r="B20" s="258" t="s">
        <v>36</v>
      </c>
      <c r="C20" s="259"/>
      <c r="D20" s="259"/>
      <c r="E20" s="259"/>
      <c r="F20" s="259"/>
      <c r="G20" s="259"/>
      <c r="H20" s="260"/>
    </row>
    <row r="21" spans="2:8" ht="45" customHeight="1" x14ac:dyDescent="0.25">
      <c r="B21" s="186"/>
      <c r="C21" s="186"/>
      <c r="D21" s="186"/>
      <c r="E21" s="186"/>
      <c r="F21" s="186"/>
      <c r="G21" s="186"/>
      <c r="H21" s="186"/>
    </row>
    <row r="22" spans="2:8" ht="7.95" customHeight="1" x14ac:dyDescent="0.25"/>
    <row r="23" spans="2:8" ht="30" customHeight="1" x14ac:dyDescent="0.25">
      <c r="B23" s="258" t="s">
        <v>37</v>
      </c>
      <c r="C23" s="259"/>
      <c r="D23" s="259"/>
      <c r="E23" s="259"/>
      <c r="F23" s="259"/>
      <c r="G23" s="259"/>
      <c r="H23" s="260"/>
    </row>
    <row r="24" spans="2:8" ht="45" customHeight="1" x14ac:dyDescent="0.25">
      <c r="B24" s="186"/>
      <c r="C24" s="186"/>
      <c r="D24" s="186"/>
      <c r="E24" s="186"/>
      <c r="F24" s="186"/>
      <c r="G24" s="186"/>
      <c r="H24" s="186"/>
    </row>
    <row r="25" spans="2:8" ht="7.95" customHeight="1" x14ac:dyDescent="0.25"/>
    <row r="26" spans="2:8" ht="30" customHeight="1" x14ac:dyDescent="0.25">
      <c r="B26" s="258" t="s">
        <v>38</v>
      </c>
      <c r="C26" s="259"/>
      <c r="D26" s="259"/>
      <c r="E26" s="259"/>
      <c r="F26" s="259"/>
      <c r="G26" s="259"/>
      <c r="H26" s="260"/>
    </row>
    <row r="27" spans="2:8" ht="45" customHeight="1" x14ac:dyDescent="0.25">
      <c r="B27" s="186"/>
      <c r="C27" s="186"/>
      <c r="D27" s="186"/>
      <c r="E27" s="186"/>
      <c r="F27" s="186"/>
      <c r="G27" s="186"/>
      <c r="H27" s="186"/>
    </row>
  </sheetData>
  <sheetProtection algorithmName="SHA-512" hashValue="viSJNBzUWNoh6uAauqLmc59u4KwQQ9uUvnED6LRBcXldbGVrHKShm37NRspYE1peCxcrGDPbSJogL81Z8JedBg==" saltValue="c9uCNd//Q63kmxJocaVl4g==" spinCount="100000" sheet="1" objects="1" scenarios="1" selectLockedCells="1"/>
  <mergeCells count="28">
    <mergeCell ref="B1:H1"/>
    <mergeCell ref="C3:H3"/>
    <mergeCell ref="C7:F7"/>
    <mergeCell ref="C8:F8"/>
    <mergeCell ref="C9:F9"/>
    <mergeCell ref="C12:D12"/>
    <mergeCell ref="C13:D13"/>
    <mergeCell ref="E12:F12"/>
    <mergeCell ref="B4:B9"/>
    <mergeCell ref="C4:F4"/>
    <mergeCell ref="C5:F5"/>
    <mergeCell ref="C6:F6"/>
    <mergeCell ref="B26:H26"/>
    <mergeCell ref="B27:H27"/>
    <mergeCell ref="B24:H24"/>
    <mergeCell ref="G11:H11"/>
    <mergeCell ref="G12:H12"/>
    <mergeCell ref="G13:H13"/>
    <mergeCell ref="G14:H14"/>
    <mergeCell ref="B21:H21"/>
    <mergeCell ref="B23:H23"/>
    <mergeCell ref="B18:H18"/>
    <mergeCell ref="C14:D14"/>
    <mergeCell ref="C16:H16"/>
    <mergeCell ref="B20:H20"/>
    <mergeCell ref="E11:F11"/>
    <mergeCell ref="E13:F13"/>
    <mergeCell ref="C11:D11"/>
  </mergeCells>
  <conditionalFormatting sqref="C3:H3">
    <cfRule type="containsBlanks" dxfId="2" priority="5">
      <formula>LEN(TRIM(C3))=0</formula>
    </cfRule>
  </conditionalFormatting>
  <conditionalFormatting sqref="C11:D14 C16:H16 B21:H21 B24:H24 B27:H27 C4:F9 H4:H9">
    <cfRule type="containsBlanks" dxfId="1" priority="4">
      <formula>LEN(TRIM(B4))=0</formula>
    </cfRule>
  </conditionalFormatting>
  <conditionalFormatting sqref="H4:H9">
    <cfRule type="cellIs" dxfId="0" priority="3" operator="equal">
      <formula>"AAAA/MM/JJ"</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listes!$C$2:$C$8</xm:f>
          </x14:formula1>
          <xm:sqref>C14:D14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1:H51"/>
  <sheetViews>
    <sheetView zoomScale="85" zoomScaleNormal="85" workbookViewId="0">
      <selection activeCell="I15" sqref="I15"/>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95" t="s">
        <v>15</v>
      </c>
      <c r="C1" s="196"/>
      <c r="D1" s="196"/>
      <c r="E1" s="196"/>
      <c r="F1" s="196"/>
      <c r="G1" s="196"/>
      <c r="H1" s="197"/>
    </row>
    <row r="2" spans="2:8" ht="7.95" customHeight="1" thickBot="1" x14ac:dyDescent="0.3">
      <c r="B2" s="124"/>
      <c r="C2" s="125"/>
      <c r="D2" s="125"/>
      <c r="E2" s="125"/>
      <c r="F2" s="126"/>
      <c r="G2" s="125"/>
      <c r="H2" s="125"/>
    </row>
    <row r="3" spans="2:8" ht="13.8" customHeight="1" x14ac:dyDescent="0.25">
      <c r="B3" s="127" t="s">
        <v>40</v>
      </c>
      <c r="C3" s="121" t="s">
        <v>60</v>
      </c>
      <c r="D3" s="275" t="s">
        <v>41</v>
      </c>
      <c r="E3" s="276"/>
      <c r="F3" s="122"/>
      <c r="G3" s="128" t="s">
        <v>42</v>
      </c>
      <c r="H3" s="123"/>
    </row>
    <row r="4" spans="2:8" ht="7.95" customHeight="1" x14ac:dyDescent="0.25">
      <c r="B4" s="129"/>
      <c r="C4" s="130"/>
      <c r="D4" s="130"/>
      <c r="E4" s="130"/>
      <c r="F4" s="130"/>
      <c r="G4" s="130"/>
      <c r="H4" s="131"/>
    </row>
    <row r="5" spans="2:8" x14ac:dyDescent="0.25">
      <c r="B5" s="277" t="s">
        <v>47</v>
      </c>
      <c r="C5" s="278"/>
      <c r="D5" s="278"/>
      <c r="E5" s="278"/>
      <c r="F5" s="278"/>
      <c r="G5" s="278"/>
      <c r="H5" s="279"/>
    </row>
    <row r="6" spans="2:8" ht="14.4" x14ac:dyDescent="0.3">
      <c r="B6" s="132" t="s">
        <v>44</v>
      </c>
      <c r="C6" s="280" t="s">
        <v>45</v>
      </c>
      <c r="D6" s="280"/>
      <c r="E6" s="280"/>
      <c r="F6" s="280" t="s">
        <v>8</v>
      </c>
      <c r="G6" s="280"/>
      <c r="H6" s="281"/>
    </row>
    <row r="7" spans="2:8" x14ac:dyDescent="0.25">
      <c r="B7" s="139"/>
      <c r="C7" s="256"/>
      <c r="D7" s="256"/>
      <c r="E7" s="256"/>
      <c r="F7" s="256"/>
      <c r="G7" s="256"/>
      <c r="H7" s="282"/>
    </row>
    <row r="8" spans="2:8" x14ac:dyDescent="0.25">
      <c r="B8" s="139"/>
      <c r="C8" s="256"/>
      <c r="D8" s="256"/>
      <c r="E8" s="256"/>
      <c r="F8" s="256"/>
      <c r="G8" s="256"/>
      <c r="H8" s="282"/>
    </row>
    <row r="9" spans="2:8" x14ac:dyDescent="0.25">
      <c r="B9" s="139"/>
      <c r="C9" s="256"/>
      <c r="D9" s="256"/>
      <c r="E9" s="256"/>
      <c r="F9" s="256"/>
      <c r="G9" s="256"/>
      <c r="H9" s="282"/>
    </row>
    <row r="10" spans="2:8" ht="7.95" customHeight="1" x14ac:dyDescent="0.25">
      <c r="B10" s="129"/>
      <c r="C10" s="130"/>
      <c r="D10" s="130"/>
      <c r="E10" s="130"/>
      <c r="F10" s="130"/>
      <c r="G10" s="130"/>
      <c r="H10" s="131"/>
    </row>
    <row r="11" spans="2:8" x14ac:dyDescent="0.25">
      <c r="B11" s="277" t="s">
        <v>46</v>
      </c>
      <c r="C11" s="278"/>
      <c r="D11" s="278"/>
      <c r="E11" s="278"/>
      <c r="F11" s="278"/>
      <c r="G11" s="278"/>
      <c r="H11" s="279"/>
    </row>
    <row r="12" spans="2:8" ht="14.4" x14ac:dyDescent="0.3">
      <c r="B12" s="132" t="s">
        <v>44</v>
      </c>
      <c r="C12" s="280" t="s">
        <v>45</v>
      </c>
      <c r="D12" s="280"/>
      <c r="E12" s="280"/>
      <c r="F12" s="280" t="s">
        <v>8</v>
      </c>
      <c r="G12" s="280"/>
      <c r="H12" s="281"/>
    </row>
    <row r="13" spans="2:8" x14ac:dyDescent="0.25">
      <c r="B13" s="139"/>
      <c r="C13" s="256"/>
      <c r="D13" s="256"/>
      <c r="E13" s="256"/>
      <c r="F13" s="256"/>
      <c r="G13" s="256"/>
      <c r="H13" s="282"/>
    </row>
    <row r="14" spans="2:8" x14ac:dyDescent="0.25">
      <c r="B14" s="139"/>
      <c r="C14" s="256"/>
      <c r="D14" s="256"/>
      <c r="E14" s="256"/>
      <c r="F14" s="256"/>
      <c r="G14" s="256"/>
      <c r="H14" s="282"/>
    </row>
    <row r="15" spans="2:8" x14ac:dyDescent="0.25">
      <c r="B15" s="139"/>
      <c r="C15" s="256"/>
      <c r="D15" s="256"/>
      <c r="E15" s="256"/>
      <c r="F15" s="256"/>
      <c r="G15" s="256"/>
      <c r="H15" s="282"/>
    </row>
    <row r="16" spans="2:8" ht="7.95" customHeight="1" x14ac:dyDescent="0.25">
      <c r="B16" s="129"/>
      <c r="C16" s="130"/>
      <c r="D16" s="130"/>
      <c r="E16" s="130"/>
      <c r="F16" s="130"/>
      <c r="G16" s="130"/>
      <c r="H16" s="131"/>
    </row>
    <row r="17" spans="2:8" x14ac:dyDescent="0.25">
      <c r="B17" s="277" t="s">
        <v>48</v>
      </c>
      <c r="C17" s="278"/>
      <c r="D17" s="278"/>
      <c r="E17" s="278"/>
      <c r="F17" s="278"/>
      <c r="G17" s="278"/>
      <c r="H17" s="279"/>
    </row>
    <row r="18" spans="2:8" ht="14.4" x14ac:dyDescent="0.3">
      <c r="B18" s="132" t="s">
        <v>44</v>
      </c>
      <c r="C18" s="133" t="s">
        <v>405</v>
      </c>
      <c r="D18" s="134" t="s">
        <v>49</v>
      </c>
      <c r="E18" s="134" t="s">
        <v>50</v>
      </c>
      <c r="F18" s="280" t="s">
        <v>8</v>
      </c>
      <c r="G18" s="280"/>
      <c r="H18" s="281"/>
    </row>
    <row r="19" spans="2:8" x14ac:dyDescent="0.25">
      <c r="B19" s="140"/>
      <c r="C19" s="141"/>
      <c r="D19" s="142"/>
      <c r="E19" s="142"/>
      <c r="F19" s="256"/>
      <c r="G19" s="256"/>
      <c r="H19" s="282"/>
    </row>
    <row r="20" spans="2:8" x14ac:dyDescent="0.25">
      <c r="B20" s="140"/>
      <c r="C20" s="141"/>
      <c r="D20" s="142"/>
      <c r="E20" s="142"/>
      <c r="F20" s="256"/>
      <c r="G20" s="256"/>
      <c r="H20" s="282"/>
    </row>
    <row r="21" spans="2:8" ht="15" customHeight="1" x14ac:dyDescent="0.25">
      <c r="B21" s="140"/>
      <c r="C21" s="141"/>
      <c r="D21" s="142"/>
      <c r="E21" s="142"/>
      <c r="F21" s="256"/>
      <c r="G21" s="256"/>
      <c r="H21" s="282"/>
    </row>
    <row r="22" spans="2:8" ht="7.95" customHeight="1" x14ac:dyDescent="0.25">
      <c r="B22" s="129"/>
      <c r="C22" s="130"/>
      <c r="D22" s="130"/>
      <c r="E22" s="130"/>
      <c r="F22" s="130"/>
      <c r="G22" s="130"/>
      <c r="H22" s="131"/>
    </row>
    <row r="23" spans="2:8" x14ac:dyDescent="0.25">
      <c r="B23" s="277" t="s">
        <v>51</v>
      </c>
      <c r="C23" s="278"/>
      <c r="D23" s="278"/>
      <c r="E23" s="278"/>
      <c r="F23" s="278"/>
      <c r="G23" s="278"/>
      <c r="H23" s="279"/>
    </row>
    <row r="24" spans="2:8" ht="14.4" x14ac:dyDescent="0.3">
      <c r="B24" s="135" t="s">
        <v>2</v>
      </c>
      <c r="C24" s="283" t="s">
        <v>52</v>
      </c>
      <c r="D24" s="283"/>
      <c r="E24" s="283"/>
      <c r="F24" s="280" t="s">
        <v>8</v>
      </c>
      <c r="G24" s="280"/>
      <c r="H24" s="281"/>
    </row>
    <row r="25" spans="2:8" x14ac:dyDescent="0.25">
      <c r="B25" s="140"/>
      <c r="C25" s="210"/>
      <c r="D25" s="210"/>
      <c r="E25" s="210"/>
      <c r="F25" s="256"/>
      <c r="G25" s="256"/>
      <c r="H25" s="282"/>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75" t="s">
        <v>41</v>
      </c>
      <c r="E28" s="276"/>
      <c r="F28" s="122"/>
      <c r="G28" s="128" t="s">
        <v>42</v>
      </c>
      <c r="H28" s="123"/>
    </row>
    <row r="29" spans="2:8" ht="7.95" customHeight="1" x14ac:dyDescent="0.25">
      <c r="B29" s="129"/>
      <c r="C29" s="130"/>
      <c r="D29" s="130"/>
      <c r="E29" s="130"/>
      <c r="F29" s="130"/>
      <c r="G29" s="130"/>
      <c r="H29" s="131"/>
    </row>
    <row r="30" spans="2:8" x14ac:dyDescent="0.25">
      <c r="B30" s="277" t="s">
        <v>47</v>
      </c>
      <c r="C30" s="278"/>
      <c r="D30" s="278"/>
      <c r="E30" s="278"/>
      <c r="F30" s="278"/>
      <c r="G30" s="278"/>
      <c r="H30" s="279"/>
    </row>
    <row r="31" spans="2:8" ht="14.4" x14ac:dyDescent="0.3">
      <c r="B31" s="132" t="s">
        <v>44</v>
      </c>
      <c r="C31" s="280" t="s">
        <v>45</v>
      </c>
      <c r="D31" s="280"/>
      <c r="E31" s="280"/>
      <c r="F31" s="280" t="s">
        <v>8</v>
      </c>
      <c r="G31" s="280"/>
      <c r="H31" s="281"/>
    </row>
    <row r="32" spans="2:8" x14ac:dyDescent="0.25">
      <c r="B32" s="143"/>
      <c r="C32" s="284"/>
      <c r="D32" s="284"/>
      <c r="E32" s="284"/>
      <c r="F32" s="284"/>
      <c r="G32" s="284"/>
      <c r="H32" s="285"/>
    </row>
    <row r="33" spans="2:8" x14ac:dyDescent="0.25">
      <c r="B33" s="143"/>
      <c r="C33" s="284"/>
      <c r="D33" s="284"/>
      <c r="E33" s="284"/>
      <c r="F33" s="284"/>
      <c r="G33" s="284"/>
      <c r="H33" s="285"/>
    </row>
    <row r="34" spans="2:8" x14ac:dyDescent="0.25">
      <c r="B34" s="143"/>
      <c r="C34" s="284"/>
      <c r="D34" s="284"/>
      <c r="E34" s="284"/>
      <c r="F34" s="284"/>
      <c r="G34" s="284"/>
      <c r="H34" s="285"/>
    </row>
    <row r="35" spans="2:8" ht="7.95" customHeight="1" x14ac:dyDescent="0.25">
      <c r="B35" s="129"/>
      <c r="C35" s="130"/>
      <c r="D35" s="130"/>
      <c r="E35" s="130"/>
      <c r="F35" s="130"/>
      <c r="G35" s="130"/>
      <c r="H35" s="131"/>
    </row>
    <row r="36" spans="2:8" x14ac:dyDescent="0.25">
      <c r="B36" s="277" t="s">
        <v>46</v>
      </c>
      <c r="C36" s="278"/>
      <c r="D36" s="278"/>
      <c r="E36" s="278"/>
      <c r="F36" s="278"/>
      <c r="G36" s="278"/>
      <c r="H36" s="279"/>
    </row>
    <row r="37" spans="2:8" ht="14.4" x14ac:dyDescent="0.3">
      <c r="B37" s="132" t="s">
        <v>44</v>
      </c>
      <c r="C37" s="280" t="s">
        <v>45</v>
      </c>
      <c r="D37" s="280"/>
      <c r="E37" s="280"/>
      <c r="F37" s="280" t="s">
        <v>8</v>
      </c>
      <c r="G37" s="280"/>
      <c r="H37" s="281"/>
    </row>
    <row r="38" spans="2:8" x14ac:dyDescent="0.25">
      <c r="B38" s="143"/>
      <c r="C38" s="284"/>
      <c r="D38" s="284"/>
      <c r="E38" s="284"/>
      <c r="F38" s="284"/>
      <c r="G38" s="284"/>
      <c r="H38" s="285"/>
    </row>
    <row r="39" spans="2:8" x14ac:dyDescent="0.25">
      <c r="B39" s="143"/>
      <c r="C39" s="284"/>
      <c r="D39" s="284"/>
      <c r="E39" s="284"/>
      <c r="F39" s="284"/>
      <c r="G39" s="284"/>
      <c r="H39" s="285"/>
    </row>
    <row r="40" spans="2:8" x14ac:dyDescent="0.25">
      <c r="B40" s="143"/>
      <c r="C40" s="284"/>
      <c r="D40" s="284"/>
      <c r="E40" s="284"/>
      <c r="F40" s="284"/>
      <c r="G40" s="284"/>
      <c r="H40" s="285"/>
    </row>
    <row r="41" spans="2:8" ht="7.95" customHeight="1" x14ac:dyDescent="0.25">
      <c r="B41" s="129"/>
      <c r="C41" s="130"/>
      <c r="D41" s="130"/>
      <c r="E41" s="130"/>
      <c r="F41" s="130"/>
      <c r="G41" s="130"/>
      <c r="H41" s="131"/>
    </row>
    <row r="42" spans="2:8" x14ac:dyDescent="0.25">
      <c r="B42" s="277" t="s">
        <v>48</v>
      </c>
      <c r="C42" s="278"/>
      <c r="D42" s="278"/>
      <c r="E42" s="278"/>
      <c r="F42" s="278"/>
      <c r="G42" s="278"/>
      <c r="H42" s="279"/>
    </row>
    <row r="43" spans="2:8" ht="14.4" x14ac:dyDescent="0.3">
      <c r="B43" s="132" t="s">
        <v>44</v>
      </c>
      <c r="C43" s="133" t="s">
        <v>405</v>
      </c>
      <c r="D43" s="134" t="s">
        <v>49</v>
      </c>
      <c r="E43" s="134" t="s">
        <v>50</v>
      </c>
      <c r="F43" s="280" t="s">
        <v>8</v>
      </c>
      <c r="G43" s="280"/>
      <c r="H43" s="281"/>
    </row>
    <row r="44" spans="2:8" x14ac:dyDescent="0.25">
      <c r="B44" s="140"/>
      <c r="C44" s="141"/>
      <c r="D44" s="142"/>
      <c r="E44" s="142"/>
      <c r="F44" s="256"/>
      <c r="G44" s="256"/>
      <c r="H44" s="282"/>
    </row>
    <row r="45" spans="2:8" x14ac:dyDescent="0.25">
      <c r="B45" s="140"/>
      <c r="C45" s="141"/>
      <c r="D45" s="142"/>
      <c r="E45" s="142"/>
      <c r="F45" s="256"/>
      <c r="G45" s="256"/>
      <c r="H45" s="282"/>
    </row>
    <row r="46" spans="2:8" x14ac:dyDescent="0.25">
      <c r="B46" s="140"/>
      <c r="C46" s="141"/>
      <c r="D46" s="142"/>
      <c r="E46" s="142"/>
      <c r="F46" s="256"/>
      <c r="G46" s="256"/>
      <c r="H46" s="282"/>
    </row>
    <row r="47" spans="2:8" ht="7.95" customHeight="1" x14ac:dyDescent="0.25">
      <c r="B47" s="129"/>
      <c r="C47" s="130"/>
      <c r="D47" s="130"/>
      <c r="E47" s="130"/>
      <c r="F47" s="130"/>
      <c r="G47" s="130"/>
      <c r="H47" s="131"/>
    </row>
    <row r="48" spans="2:8" x14ac:dyDescent="0.25">
      <c r="B48" s="277" t="s">
        <v>51</v>
      </c>
      <c r="C48" s="278"/>
      <c r="D48" s="278"/>
      <c r="E48" s="278"/>
      <c r="F48" s="278"/>
      <c r="G48" s="278"/>
      <c r="H48" s="279"/>
    </row>
    <row r="49" spans="2:8" ht="14.4" x14ac:dyDescent="0.3">
      <c r="B49" s="135" t="s">
        <v>2</v>
      </c>
      <c r="C49" s="283" t="s">
        <v>52</v>
      </c>
      <c r="D49" s="283"/>
      <c r="E49" s="283"/>
      <c r="F49" s="280" t="s">
        <v>8</v>
      </c>
      <c r="G49" s="280"/>
      <c r="H49" s="281"/>
    </row>
    <row r="50" spans="2:8" x14ac:dyDescent="0.25">
      <c r="B50" s="144"/>
      <c r="C50" s="286"/>
      <c r="D50" s="286"/>
      <c r="E50" s="286"/>
      <c r="F50" s="284"/>
      <c r="G50" s="284"/>
      <c r="H50" s="285"/>
    </row>
    <row r="51" spans="2:8" ht="7.95" customHeight="1" thickBot="1" x14ac:dyDescent="0.3">
      <c r="B51" s="136"/>
      <c r="C51" s="137"/>
      <c r="D51" s="137"/>
      <c r="E51" s="137"/>
      <c r="F51" s="137"/>
      <c r="G51" s="137"/>
      <c r="H51" s="138"/>
    </row>
  </sheetData>
  <sheetProtection algorithmName="SHA-512" hashValue="wy+NGshJ6ORJgg2T17jF/RfKOkQKAK9QsyThG2CCiXb00Xpo8OBU3rttEDiUEo6lTVpvCRVTBIn7ZQaIoDnRUw==" saltValue="zNdopzOV1cXtFK0/1DBfGw==" spinCount="100000" sheet="1" objects="1" scenarios="1" insertColumns="0" insertRows="0" deleteColumns="0" deleteRows="0"/>
  <mergeCells count="59">
    <mergeCell ref="C50:E50"/>
    <mergeCell ref="F50:H50"/>
    <mergeCell ref="B42:H42"/>
    <mergeCell ref="F43:H43"/>
    <mergeCell ref="F44:H44"/>
    <mergeCell ref="F45:H45"/>
    <mergeCell ref="F46:H46"/>
    <mergeCell ref="B48:H48"/>
    <mergeCell ref="C49:E49"/>
    <mergeCell ref="F49:H49"/>
    <mergeCell ref="C38:E38"/>
    <mergeCell ref="F38:H38"/>
    <mergeCell ref="C39:E39"/>
    <mergeCell ref="F39:H39"/>
    <mergeCell ref="C40:E40"/>
    <mergeCell ref="F40:H40"/>
    <mergeCell ref="C37:E37"/>
    <mergeCell ref="F37:H37"/>
    <mergeCell ref="B30:H30"/>
    <mergeCell ref="C31:E31"/>
    <mergeCell ref="F31:H31"/>
    <mergeCell ref="C32:E32"/>
    <mergeCell ref="F32:H32"/>
    <mergeCell ref="C33:E33"/>
    <mergeCell ref="F33:H33"/>
    <mergeCell ref="C34:E34"/>
    <mergeCell ref="F34:H34"/>
    <mergeCell ref="B36:H36"/>
    <mergeCell ref="C24:E24"/>
    <mergeCell ref="F24:H24"/>
    <mergeCell ref="B23:H23"/>
    <mergeCell ref="B1:H1"/>
    <mergeCell ref="F21:H21"/>
    <mergeCell ref="F18:H18"/>
    <mergeCell ref="F19:H19"/>
    <mergeCell ref="F20:H20"/>
    <mergeCell ref="F13:H13"/>
    <mergeCell ref="C14:E14"/>
    <mergeCell ref="C9:E9"/>
    <mergeCell ref="F9:H9"/>
    <mergeCell ref="C8:E8"/>
    <mergeCell ref="F8:H8"/>
    <mergeCell ref="D3:E3"/>
    <mergeCell ref="D28:E28"/>
    <mergeCell ref="B5:H5"/>
    <mergeCell ref="C6:E6"/>
    <mergeCell ref="F6:H6"/>
    <mergeCell ref="C7:E7"/>
    <mergeCell ref="F7:H7"/>
    <mergeCell ref="B17:H17"/>
    <mergeCell ref="B11:H11"/>
    <mergeCell ref="C12:E12"/>
    <mergeCell ref="F12:H12"/>
    <mergeCell ref="C13:E13"/>
    <mergeCell ref="F14:H14"/>
    <mergeCell ref="C15:E15"/>
    <mergeCell ref="F15:H15"/>
    <mergeCell ref="F25:H25"/>
    <mergeCell ref="C25:E25"/>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H51"/>
  <sheetViews>
    <sheetView zoomScale="85" zoomScaleNormal="85" workbookViewId="0">
      <selection activeCell="L21" sqref="L21"/>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95" t="s">
        <v>15</v>
      </c>
      <c r="C1" s="196"/>
      <c r="D1" s="196"/>
      <c r="E1" s="196"/>
      <c r="F1" s="196"/>
      <c r="G1" s="196"/>
      <c r="H1" s="197"/>
    </row>
    <row r="2" spans="2:8" ht="7.95" customHeight="1" thickBot="1" x14ac:dyDescent="0.3">
      <c r="B2" s="124"/>
      <c r="C2" s="125"/>
      <c r="D2" s="125"/>
      <c r="E2" s="125"/>
      <c r="F2" s="126"/>
      <c r="G2" s="125"/>
      <c r="H2" s="125"/>
    </row>
    <row r="3" spans="2:8" ht="13.8" customHeight="1" x14ac:dyDescent="0.25">
      <c r="B3" s="127" t="s">
        <v>40</v>
      </c>
      <c r="C3" s="121" t="s">
        <v>60</v>
      </c>
      <c r="D3" s="275" t="s">
        <v>41</v>
      </c>
      <c r="E3" s="276"/>
      <c r="F3" s="122"/>
      <c r="G3" s="128" t="s">
        <v>42</v>
      </c>
      <c r="H3" s="123"/>
    </row>
    <row r="4" spans="2:8" ht="7.95" customHeight="1" x14ac:dyDescent="0.25">
      <c r="B4" s="129"/>
      <c r="C4" s="130"/>
      <c r="D4" s="130"/>
      <c r="E4" s="130"/>
      <c r="F4" s="130"/>
      <c r="G4" s="130"/>
      <c r="H4" s="131"/>
    </row>
    <row r="5" spans="2:8" x14ac:dyDescent="0.25">
      <c r="B5" s="277" t="s">
        <v>47</v>
      </c>
      <c r="C5" s="278"/>
      <c r="D5" s="278"/>
      <c r="E5" s="278"/>
      <c r="F5" s="278"/>
      <c r="G5" s="278"/>
      <c r="H5" s="279"/>
    </row>
    <row r="6" spans="2:8" ht="14.4" x14ac:dyDescent="0.3">
      <c r="B6" s="132" t="s">
        <v>44</v>
      </c>
      <c r="C6" s="280" t="s">
        <v>45</v>
      </c>
      <c r="D6" s="280"/>
      <c r="E6" s="280"/>
      <c r="F6" s="280" t="s">
        <v>8</v>
      </c>
      <c r="G6" s="280"/>
      <c r="H6" s="281"/>
    </row>
    <row r="7" spans="2:8" x14ac:dyDescent="0.25">
      <c r="B7" s="139"/>
      <c r="C7" s="256"/>
      <c r="D7" s="256"/>
      <c r="E7" s="256"/>
      <c r="F7" s="256"/>
      <c r="G7" s="256"/>
      <c r="H7" s="282"/>
    </row>
    <row r="8" spans="2:8" x14ac:dyDescent="0.25">
      <c r="B8" s="139"/>
      <c r="C8" s="256"/>
      <c r="D8" s="256"/>
      <c r="E8" s="256"/>
      <c r="F8" s="256"/>
      <c r="G8" s="256"/>
      <c r="H8" s="282"/>
    </row>
    <row r="9" spans="2:8" x14ac:dyDescent="0.25">
      <c r="B9" s="139"/>
      <c r="C9" s="256"/>
      <c r="D9" s="256"/>
      <c r="E9" s="256"/>
      <c r="F9" s="256"/>
      <c r="G9" s="256"/>
      <c r="H9" s="282"/>
    </row>
    <row r="10" spans="2:8" ht="7.95" customHeight="1" x14ac:dyDescent="0.25">
      <c r="B10" s="129"/>
      <c r="C10" s="130"/>
      <c r="D10" s="130"/>
      <c r="E10" s="130"/>
      <c r="F10" s="130"/>
      <c r="G10" s="130"/>
      <c r="H10" s="131"/>
    </row>
    <row r="11" spans="2:8" x14ac:dyDescent="0.25">
      <c r="B11" s="277" t="s">
        <v>46</v>
      </c>
      <c r="C11" s="278"/>
      <c r="D11" s="278"/>
      <c r="E11" s="278"/>
      <c r="F11" s="278"/>
      <c r="G11" s="278"/>
      <c r="H11" s="279"/>
    </row>
    <row r="12" spans="2:8" ht="14.4" x14ac:dyDescent="0.3">
      <c r="B12" s="132" t="s">
        <v>44</v>
      </c>
      <c r="C12" s="280" t="s">
        <v>45</v>
      </c>
      <c r="D12" s="280"/>
      <c r="E12" s="280"/>
      <c r="F12" s="280" t="s">
        <v>8</v>
      </c>
      <c r="G12" s="280"/>
      <c r="H12" s="281"/>
    </row>
    <row r="13" spans="2:8" x14ac:dyDescent="0.25">
      <c r="B13" s="139"/>
      <c r="C13" s="256"/>
      <c r="D13" s="256"/>
      <c r="E13" s="256"/>
      <c r="F13" s="256"/>
      <c r="G13" s="256"/>
      <c r="H13" s="282"/>
    </row>
    <row r="14" spans="2:8" x14ac:dyDescent="0.25">
      <c r="B14" s="139"/>
      <c r="C14" s="256"/>
      <c r="D14" s="256"/>
      <c r="E14" s="256"/>
      <c r="F14" s="256"/>
      <c r="G14" s="256"/>
      <c r="H14" s="282"/>
    </row>
    <row r="15" spans="2:8" x14ac:dyDescent="0.25">
      <c r="B15" s="139"/>
      <c r="C15" s="256"/>
      <c r="D15" s="256"/>
      <c r="E15" s="256"/>
      <c r="F15" s="256"/>
      <c r="G15" s="256"/>
      <c r="H15" s="282"/>
    </row>
    <row r="16" spans="2:8" ht="7.95" customHeight="1" x14ac:dyDescent="0.25">
      <c r="B16" s="129"/>
      <c r="C16" s="130"/>
      <c r="D16" s="130"/>
      <c r="E16" s="130"/>
      <c r="F16" s="130"/>
      <c r="G16" s="130"/>
      <c r="H16" s="131"/>
    </row>
    <row r="17" spans="2:8" x14ac:dyDescent="0.25">
      <c r="B17" s="277" t="s">
        <v>48</v>
      </c>
      <c r="C17" s="278"/>
      <c r="D17" s="278"/>
      <c r="E17" s="278"/>
      <c r="F17" s="278"/>
      <c r="G17" s="278"/>
      <c r="H17" s="279"/>
    </row>
    <row r="18" spans="2:8" ht="14.4" x14ac:dyDescent="0.3">
      <c r="B18" s="132" t="s">
        <v>44</v>
      </c>
      <c r="C18" s="133" t="s">
        <v>405</v>
      </c>
      <c r="D18" s="134" t="s">
        <v>49</v>
      </c>
      <c r="E18" s="134" t="s">
        <v>50</v>
      </c>
      <c r="F18" s="280" t="s">
        <v>8</v>
      </c>
      <c r="G18" s="280"/>
      <c r="H18" s="281"/>
    </row>
    <row r="19" spans="2:8" x14ac:dyDescent="0.25">
      <c r="B19" s="140"/>
      <c r="C19" s="141"/>
      <c r="D19" s="142"/>
      <c r="E19" s="142"/>
      <c r="F19" s="256"/>
      <c r="G19" s="256"/>
      <c r="H19" s="282"/>
    </row>
    <row r="20" spans="2:8" x14ac:dyDescent="0.25">
      <c r="B20" s="140"/>
      <c r="C20" s="141"/>
      <c r="D20" s="142"/>
      <c r="E20" s="142"/>
      <c r="F20" s="256"/>
      <c r="G20" s="256"/>
      <c r="H20" s="282"/>
    </row>
    <row r="21" spans="2:8" ht="15" customHeight="1" x14ac:dyDescent="0.25">
      <c r="B21" s="140"/>
      <c r="C21" s="141"/>
      <c r="D21" s="142"/>
      <c r="E21" s="142"/>
      <c r="F21" s="256"/>
      <c r="G21" s="256"/>
      <c r="H21" s="282"/>
    </row>
    <row r="22" spans="2:8" ht="7.95" customHeight="1" x14ac:dyDescent="0.25">
      <c r="B22" s="129"/>
      <c r="C22" s="130"/>
      <c r="D22" s="130"/>
      <c r="E22" s="130"/>
      <c r="F22" s="130"/>
      <c r="G22" s="130"/>
      <c r="H22" s="131"/>
    </row>
    <row r="23" spans="2:8" x14ac:dyDescent="0.25">
      <c r="B23" s="277" t="s">
        <v>51</v>
      </c>
      <c r="C23" s="278"/>
      <c r="D23" s="278"/>
      <c r="E23" s="278"/>
      <c r="F23" s="278"/>
      <c r="G23" s="278"/>
      <c r="H23" s="279"/>
    </row>
    <row r="24" spans="2:8" ht="14.4" x14ac:dyDescent="0.3">
      <c r="B24" s="135" t="s">
        <v>2</v>
      </c>
      <c r="C24" s="283" t="s">
        <v>52</v>
      </c>
      <c r="D24" s="283"/>
      <c r="E24" s="283"/>
      <c r="F24" s="280" t="s">
        <v>8</v>
      </c>
      <c r="G24" s="280"/>
      <c r="H24" s="281"/>
    </row>
    <row r="25" spans="2:8" x14ac:dyDescent="0.25">
      <c r="B25" s="140"/>
      <c r="C25" s="210"/>
      <c r="D25" s="210"/>
      <c r="E25" s="210"/>
      <c r="F25" s="256"/>
      <c r="G25" s="256"/>
      <c r="H25" s="282"/>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75" t="s">
        <v>41</v>
      </c>
      <c r="E28" s="276"/>
      <c r="F28" s="122"/>
      <c r="G28" s="128" t="s">
        <v>42</v>
      </c>
      <c r="H28" s="123"/>
    </row>
    <row r="29" spans="2:8" ht="7.95" customHeight="1" x14ac:dyDescent="0.25">
      <c r="B29" s="129"/>
      <c r="C29" s="130"/>
      <c r="D29" s="130"/>
      <c r="E29" s="130"/>
      <c r="F29" s="130"/>
      <c r="G29" s="130"/>
      <c r="H29" s="131"/>
    </row>
    <row r="30" spans="2:8" x14ac:dyDescent="0.25">
      <c r="B30" s="277" t="s">
        <v>47</v>
      </c>
      <c r="C30" s="278"/>
      <c r="D30" s="278"/>
      <c r="E30" s="278"/>
      <c r="F30" s="278"/>
      <c r="G30" s="278"/>
      <c r="H30" s="279"/>
    </row>
    <row r="31" spans="2:8" ht="14.4" x14ac:dyDescent="0.3">
      <c r="B31" s="132" t="s">
        <v>44</v>
      </c>
      <c r="C31" s="280" t="s">
        <v>45</v>
      </c>
      <c r="D31" s="280"/>
      <c r="E31" s="280"/>
      <c r="F31" s="280" t="s">
        <v>8</v>
      </c>
      <c r="G31" s="280"/>
      <c r="H31" s="281"/>
    </row>
    <row r="32" spans="2:8" x14ac:dyDescent="0.25">
      <c r="B32" s="143"/>
      <c r="C32" s="284"/>
      <c r="D32" s="284"/>
      <c r="E32" s="284"/>
      <c r="F32" s="284"/>
      <c r="G32" s="284"/>
      <c r="H32" s="285"/>
    </row>
    <row r="33" spans="2:8" x14ac:dyDescent="0.25">
      <c r="B33" s="143"/>
      <c r="C33" s="284"/>
      <c r="D33" s="284"/>
      <c r="E33" s="284"/>
      <c r="F33" s="284"/>
      <c r="G33" s="284"/>
      <c r="H33" s="285"/>
    </row>
    <row r="34" spans="2:8" x14ac:dyDescent="0.25">
      <c r="B34" s="143"/>
      <c r="C34" s="284"/>
      <c r="D34" s="284"/>
      <c r="E34" s="284"/>
      <c r="F34" s="284"/>
      <c r="G34" s="284"/>
      <c r="H34" s="285"/>
    </row>
    <row r="35" spans="2:8" ht="7.95" customHeight="1" x14ac:dyDescent="0.25">
      <c r="B35" s="129"/>
      <c r="C35" s="130"/>
      <c r="D35" s="130"/>
      <c r="E35" s="130"/>
      <c r="F35" s="130"/>
      <c r="G35" s="130"/>
      <c r="H35" s="131"/>
    </row>
    <row r="36" spans="2:8" x14ac:dyDescent="0.25">
      <c r="B36" s="277" t="s">
        <v>46</v>
      </c>
      <c r="C36" s="278"/>
      <c r="D36" s="278"/>
      <c r="E36" s="278"/>
      <c r="F36" s="278"/>
      <c r="G36" s="278"/>
      <c r="H36" s="279"/>
    </row>
    <row r="37" spans="2:8" ht="14.4" x14ac:dyDescent="0.3">
      <c r="B37" s="132" t="s">
        <v>44</v>
      </c>
      <c r="C37" s="280" t="s">
        <v>45</v>
      </c>
      <c r="D37" s="280"/>
      <c r="E37" s="280"/>
      <c r="F37" s="280" t="s">
        <v>8</v>
      </c>
      <c r="G37" s="280"/>
      <c r="H37" s="281"/>
    </row>
    <row r="38" spans="2:8" x14ac:dyDescent="0.25">
      <c r="B38" s="143"/>
      <c r="C38" s="284"/>
      <c r="D38" s="284"/>
      <c r="E38" s="284"/>
      <c r="F38" s="284"/>
      <c r="G38" s="284"/>
      <c r="H38" s="285"/>
    </row>
    <row r="39" spans="2:8" x14ac:dyDescent="0.25">
      <c r="B39" s="143"/>
      <c r="C39" s="284"/>
      <c r="D39" s="284"/>
      <c r="E39" s="284"/>
      <c r="F39" s="284"/>
      <c r="G39" s="284"/>
      <c r="H39" s="285"/>
    </row>
    <row r="40" spans="2:8" x14ac:dyDescent="0.25">
      <c r="B40" s="143"/>
      <c r="C40" s="284"/>
      <c r="D40" s="284"/>
      <c r="E40" s="284"/>
      <c r="F40" s="284"/>
      <c r="G40" s="284"/>
      <c r="H40" s="285"/>
    </row>
    <row r="41" spans="2:8" ht="7.95" customHeight="1" x14ac:dyDescent="0.25">
      <c r="B41" s="129"/>
      <c r="C41" s="130"/>
      <c r="D41" s="130"/>
      <c r="E41" s="130"/>
      <c r="F41" s="130"/>
      <c r="G41" s="130"/>
      <c r="H41" s="131"/>
    </row>
    <row r="42" spans="2:8" x14ac:dyDescent="0.25">
      <c r="B42" s="277" t="s">
        <v>48</v>
      </c>
      <c r="C42" s="278"/>
      <c r="D42" s="278"/>
      <c r="E42" s="278"/>
      <c r="F42" s="278"/>
      <c r="G42" s="278"/>
      <c r="H42" s="279"/>
    </row>
    <row r="43" spans="2:8" ht="14.4" x14ac:dyDescent="0.3">
      <c r="B43" s="132" t="s">
        <v>44</v>
      </c>
      <c r="C43" s="133" t="s">
        <v>405</v>
      </c>
      <c r="D43" s="134" t="s">
        <v>49</v>
      </c>
      <c r="E43" s="134" t="s">
        <v>50</v>
      </c>
      <c r="F43" s="280" t="s">
        <v>8</v>
      </c>
      <c r="G43" s="280"/>
      <c r="H43" s="281"/>
    </row>
    <row r="44" spans="2:8" x14ac:dyDescent="0.25">
      <c r="B44" s="140"/>
      <c r="C44" s="141"/>
      <c r="D44" s="142"/>
      <c r="E44" s="142"/>
      <c r="F44" s="256"/>
      <c r="G44" s="256"/>
      <c r="H44" s="282"/>
    </row>
    <row r="45" spans="2:8" x14ac:dyDescent="0.25">
      <c r="B45" s="140"/>
      <c r="C45" s="141"/>
      <c r="D45" s="142"/>
      <c r="E45" s="142"/>
      <c r="F45" s="256"/>
      <c r="G45" s="256"/>
      <c r="H45" s="282"/>
    </row>
    <row r="46" spans="2:8" x14ac:dyDescent="0.25">
      <c r="B46" s="140"/>
      <c r="C46" s="141"/>
      <c r="D46" s="142"/>
      <c r="E46" s="142"/>
      <c r="F46" s="256"/>
      <c r="G46" s="256"/>
      <c r="H46" s="282"/>
    </row>
    <row r="47" spans="2:8" ht="7.95" customHeight="1" x14ac:dyDescent="0.25">
      <c r="B47" s="129"/>
      <c r="C47" s="130"/>
      <c r="D47" s="130"/>
      <c r="E47" s="130"/>
      <c r="F47" s="130"/>
      <c r="G47" s="130"/>
      <c r="H47" s="131"/>
    </row>
    <row r="48" spans="2:8" x14ac:dyDescent="0.25">
      <c r="B48" s="277" t="s">
        <v>51</v>
      </c>
      <c r="C48" s="278"/>
      <c r="D48" s="278"/>
      <c r="E48" s="278"/>
      <c r="F48" s="278"/>
      <c r="G48" s="278"/>
      <c r="H48" s="279"/>
    </row>
    <row r="49" spans="2:8" ht="14.4" x14ac:dyDescent="0.3">
      <c r="B49" s="135" t="s">
        <v>2</v>
      </c>
      <c r="C49" s="283" t="s">
        <v>52</v>
      </c>
      <c r="D49" s="283"/>
      <c r="E49" s="283"/>
      <c r="F49" s="280" t="s">
        <v>8</v>
      </c>
      <c r="G49" s="280"/>
      <c r="H49" s="281"/>
    </row>
    <row r="50" spans="2:8" x14ac:dyDescent="0.25">
      <c r="B50" s="144"/>
      <c r="C50" s="286"/>
      <c r="D50" s="286"/>
      <c r="E50" s="286"/>
      <c r="F50" s="284"/>
      <c r="G50" s="284"/>
      <c r="H50" s="285"/>
    </row>
    <row r="51" spans="2:8" ht="7.95" customHeight="1" thickBot="1" x14ac:dyDescent="0.3">
      <c r="B51" s="136"/>
      <c r="C51" s="137"/>
      <c r="D51" s="137"/>
      <c r="E51" s="137"/>
      <c r="F51" s="137"/>
      <c r="G51" s="137"/>
      <c r="H51" s="138"/>
    </row>
  </sheetData>
  <sheetProtection sheet="1" objects="1" scenarios="1" insertColumns="0" insertRows="0" deleteColumns="0" deleteRows="0"/>
  <mergeCells count="59">
    <mergeCell ref="C50:E50"/>
    <mergeCell ref="F50:H50"/>
    <mergeCell ref="F44:H44"/>
    <mergeCell ref="F45:H45"/>
    <mergeCell ref="F46:H46"/>
    <mergeCell ref="B48:H48"/>
    <mergeCell ref="C49:E49"/>
    <mergeCell ref="F49:H49"/>
    <mergeCell ref="F43:H43"/>
    <mergeCell ref="C34:E34"/>
    <mergeCell ref="F34:H34"/>
    <mergeCell ref="B36:H36"/>
    <mergeCell ref="C37:E37"/>
    <mergeCell ref="F37:H37"/>
    <mergeCell ref="C38:E38"/>
    <mergeCell ref="F38:H38"/>
    <mergeCell ref="C39:E39"/>
    <mergeCell ref="F39:H39"/>
    <mergeCell ref="C40:E40"/>
    <mergeCell ref="F40:H40"/>
    <mergeCell ref="B42:H42"/>
    <mergeCell ref="C31:E31"/>
    <mergeCell ref="F31:H31"/>
    <mergeCell ref="C32:E32"/>
    <mergeCell ref="F32:H32"/>
    <mergeCell ref="C33:E33"/>
    <mergeCell ref="F33:H33"/>
    <mergeCell ref="B30:H30"/>
    <mergeCell ref="B17:H17"/>
    <mergeCell ref="F18:H18"/>
    <mergeCell ref="F19:H19"/>
    <mergeCell ref="F20:H20"/>
    <mergeCell ref="F21:H21"/>
    <mergeCell ref="B23:H23"/>
    <mergeCell ref="C24:E24"/>
    <mergeCell ref="F24:H24"/>
    <mergeCell ref="C25:E25"/>
    <mergeCell ref="F25:H25"/>
    <mergeCell ref="D28:E28"/>
    <mergeCell ref="C13:E13"/>
    <mergeCell ref="F13:H13"/>
    <mergeCell ref="C14:E14"/>
    <mergeCell ref="F14:H14"/>
    <mergeCell ref="C15:E15"/>
    <mergeCell ref="F15:H15"/>
    <mergeCell ref="C12:E12"/>
    <mergeCell ref="F12:H12"/>
    <mergeCell ref="B1:H1"/>
    <mergeCell ref="D3:E3"/>
    <mergeCell ref="B5:H5"/>
    <mergeCell ref="C6:E6"/>
    <mergeCell ref="F6:H6"/>
    <mergeCell ref="C7:E7"/>
    <mergeCell ref="F7:H7"/>
    <mergeCell ref="C8:E8"/>
    <mergeCell ref="F8:H8"/>
    <mergeCell ref="C9:E9"/>
    <mergeCell ref="F9:H9"/>
    <mergeCell ref="B11:H11"/>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listes!$B$2:$B$4</xm:f>
          </x14:formula1>
          <xm:sqref>H3 H28</xm:sqref>
        </x14:dataValidation>
        <x14:dataValidation type="list" allowBlank="1" showInputMessage="1" showErrorMessage="1">
          <x14:formula1>
            <xm:f>listes!$A$2:$A$4</xm:f>
          </x14:formula1>
          <xm:sqref>F3 F28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B1:H51"/>
  <sheetViews>
    <sheetView zoomScale="85" zoomScaleNormal="85" workbookViewId="0">
      <selection activeCell="L13" sqref="L13"/>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95" t="s">
        <v>15</v>
      </c>
      <c r="C1" s="196"/>
      <c r="D1" s="196"/>
      <c r="E1" s="196"/>
      <c r="F1" s="196"/>
      <c r="G1" s="196"/>
      <c r="H1" s="197"/>
    </row>
    <row r="2" spans="2:8" ht="7.95" customHeight="1" thickBot="1" x14ac:dyDescent="0.3">
      <c r="B2" s="124"/>
      <c r="C2" s="125"/>
      <c r="D2" s="125"/>
      <c r="E2" s="125"/>
      <c r="F2" s="126"/>
      <c r="G2" s="125"/>
      <c r="H2" s="125"/>
    </row>
    <row r="3" spans="2:8" ht="13.8" customHeight="1" x14ac:dyDescent="0.25">
      <c r="B3" s="127" t="s">
        <v>40</v>
      </c>
      <c r="C3" s="121" t="s">
        <v>60</v>
      </c>
      <c r="D3" s="275" t="s">
        <v>41</v>
      </c>
      <c r="E3" s="276"/>
      <c r="F3" s="122"/>
      <c r="G3" s="128" t="s">
        <v>42</v>
      </c>
      <c r="H3" s="123"/>
    </row>
    <row r="4" spans="2:8" ht="7.95" customHeight="1" x14ac:dyDescent="0.25">
      <c r="B4" s="129"/>
      <c r="C4" s="130"/>
      <c r="D4" s="130"/>
      <c r="E4" s="130"/>
      <c r="F4" s="130"/>
      <c r="G4" s="130"/>
      <c r="H4" s="131"/>
    </row>
    <row r="5" spans="2:8" x14ac:dyDescent="0.25">
      <c r="B5" s="277" t="s">
        <v>47</v>
      </c>
      <c r="C5" s="278"/>
      <c r="D5" s="278"/>
      <c r="E5" s="278"/>
      <c r="F5" s="278"/>
      <c r="G5" s="278"/>
      <c r="H5" s="279"/>
    </row>
    <row r="6" spans="2:8" ht="14.4" x14ac:dyDescent="0.3">
      <c r="B6" s="132" t="s">
        <v>44</v>
      </c>
      <c r="C6" s="280" t="s">
        <v>45</v>
      </c>
      <c r="D6" s="280"/>
      <c r="E6" s="280"/>
      <c r="F6" s="280" t="s">
        <v>8</v>
      </c>
      <c r="G6" s="280"/>
      <c r="H6" s="281"/>
    </row>
    <row r="7" spans="2:8" x14ac:dyDescent="0.25">
      <c r="B7" s="139"/>
      <c r="C7" s="256"/>
      <c r="D7" s="256"/>
      <c r="E7" s="256"/>
      <c r="F7" s="256"/>
      <c r="G7" s="256"/>
      <c r="H7" s="282"/>
    </row>
    <row r="8" spans="2:8" x14ac:dyDescent="0.25">
      <c r="B8" s="139"/>
      <c r="C8" s="256"/>
      <c r="D8" s="256"/>
      <c r="E8" s="256"/>
      <c r="F8" s="256"/>
      <c r="G8" s="256"/>
      <c r="H8" s="282"/>
    </row>
    <row r="9" spans="2:8" x14ac:dyDescent="0.25">
      <c r="B9" s="139"/>
      <c r="C9" s="256"/>
      <c r="D9" s="256"/>
      <c r="E9" s="256"/>
      <c r="F9" s="256"/>
      <c r="G9" s="256"/>
      <c r="H9" s="282"/>
    </row>
    <row r="10" spans="2:8" ht="7.95" customHeight="1" x14ac:dyDescent="0.25">
      <c r="B10" s="129"/>
      <c r="C10" s="130"/>
      <c r="D10" s="130"/>
      <c r="E10" s="130"/>
      <c r="F10" s="130"/>
      <c r="G10" s="130"/>
      <c r="H10" s="131"/>
    </row>
    <row r="11" spans="2:8" x14ac:dyDescent="0.25">
      <c r="B11" s="277" t="s">
        <v>46</v>
      </c>
      <c r="C11" s="278"/>
      <c r="D11" s="278"/>
      <c r="E11" s="278"/>
      <c r="F11" s="278"/>
      <c r="G11" s="278"/>
      <c r="H11" s="279"/>
    </row>
    <row r="12" spans="2:8" ht="14.4" x14ac:dyDescent="0.3">
      <c r="B12" s="132" t="s">
        <v>44</v>
      </c>
      <c r="C12" s="280" t="s">
        <v>45</v>
      </c>
      <c r="D12" s="280"/>
      <c r="E12" s="280"/>
      <c r="F12" s="280" t="s">
        <v>8</v>
      </c>
      <c r="G12" s="280"/>
      <c r="H12" s="281"/>
    </row>
    <row r="13" spans="2:8" x14ac:dyDescent="0.25">
      <c r="B13" s="139"/>
      <c r="C13" s="256"/>
      <c r="D13" s="256"/>
      <c r="E13" s="256"/>
      <c r="F13" s="256"/>
      <c r="G13" s="256"/>
      <c r="H13" s="282"/>
    </row>
    <row r="14" spans="2:8" x14ac:dyDescent="0.25">
      <c r="B14" s="139"/>
      <c r="C14" s="256"/>
      <c r="D14" s="256"/>
      <c r="E14" s="256"/>
      <c r="F14" s="256"/>
      <c r="G14" s="256"/>
      <c r="H14" s="282"/>
    </row>
    <row r="15" spans="2:8" x14ac:dyDescent="0.25">
      <c r="B15" s="139"/>
      <c r="C15" s="256"/>
      <c r="D15" s="256"/>
      <c r="E15" s="256"/>
      <c r="F15" s="256"/>
      <c r="G15" s="256"/>
      <c r="H15" s="282"/>
    </row>
    <row r="16" spans="2:8" ht="7.95" customHeight="1" x14ac:dyDescent="0.25">
      <c r="B16" s="129"/>
      <c r="C16" s="130"/>
      <c r="D16" s="130"/>
      <c r="E16" s="130"/>
      <c r="F16" s="130"/>
      <c r="G16" s="130"/>
      <c r="H16" s="131"/>
    </row>
    <row r="17" spans="2:8" x14ac:dyDescent="0.25">
      <c r="B17" s="277" t="s">
        <v>48</v>
      </c>
      <c r="C17" s="278"/>
      <c r="D17" s="278"/>
      <c r="E17" s="278"/>
      <c r="F17" s="278"/>
      <c r="G17" s="278"/>
      <c r="H17" s="279"/>
    </row>
    <row r="18" spans="2:8" ht="14.4" x14ac:dyDescent="0.3">
      <c r="B18" s="132" t="s">
        <v>44</v>
      </c>
      <c r="C18" s="133" t="s">
        <v>405</v>
      </c>
      <c r="D18" s="134" t="s">
        <v>49</v>
      </c>
      <c r="E18" s="134" t="s">
        <v>50</v>
      </c>
      <c r="F18" s="280" t="s">
        <v>8</v>
      </c>
      <c r="G18" s="280"/>
      <c r="H18" s="281"/>
    </row>
    <row r="19" spans="2:8" x14ac:dyDescent="0.25">
      <c r="B19" s="140"/>
      <c r="C19" s="141"/>
      <c r="D19" s="142"/>
      <c r="E19" s="142"/>
      <c r="F19" s="256"/>
      <c r="G19" s="256"/>
      <c r="H19" s="282"/>
    </row>
    <row r="20" spans="2:8" x14ac:dyDescent="0.25">
      <c r="B20" s="140"/>
      <c r="C20" s="141"/>
      <c r="D20" s="142"/>
      <c r="E20" s="142"/>
      <c r="F20" s="256"/>
      <c r="G20" s="256"/>
      <c r="H20" s="282"/>
    </row>
    <row r="21" spans="2:8" ht="15" customHeight="1" x14ac:dyDescent="0.25">
      <c r="B21" s="140"/>
      <c r="C21" s="141"/>
      <c r="D21" s="142"/>
      <c r="E21" s="142"/>
      <c r="F21" s="256"/>
      <c r="G21" s="256"/>
      <c r="H21" s="282"/>
    </row>
    <row r="22" spans="2:8" ht="7.95" customHeight="1" x14ac:dyDescent="0.25">
      <c r="B22" s="129"/>
      <c r="C22" s="130"/>
      <c r="D22" s="130"/>
      <c r="E22" s="130"/>
      <c r="F22" s="130"/>
      <c r="G22" s="130"/>
      <c r="H22" s="131"/>
    </row>
    <row r="23" spans="2:8" x14ac:dyDescent="0.25">
      <c r="B23" s="277" t="s">
        <v>51</v>
      </c>
      <c r="C23" s="278"/>
      <c r="D23" s="278"/>
      <c r="E23" s="278"/>
      <c r="F23" s="278"/>
      <c r="G23" s="278"/>
      <c r="H23" s="279"/>
    </row>
    <row r="24" spans="2:8" ht="14.4" x14ac:dyDescent="0.3">
      <c r="B24" s="135" t="s">
        <v>2</v>
      </c>
      <c r="C24" s="283" t="s">
        <v>52</v>
      </c>
      <c r="D24" s="283"/>
      <c r="E24" s="283"/>
      <c r="F24" s="280" t="s">
        <v>8</v>
      </c>
      <c r="G24" s="280"/>
      <c r="H24" s="281"/>
    </row>
    <row r="25" spans="2:8" x14ac:dyDescent="0.25">
      <c r="B25" s="140"/>
      <c r="C25" s="210"/>
      <c r="D25" s="210"/>
      <c r="E25" s="210"/>
      <c r="F25" s="256"/>
      <c r="G25" s="256"/>
      <c r="H25" s="282"/>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75" t="s">
        <v>41</v>
      </c>
      <c r="E28" s="276"/>
      <c r="F28" s="122"/>
      <c r="G28" s="128" t="s">
        <v>42</v>
      </c>
      <c r="H28" s="123"/>
    </row>
    <row r="29" spans="2:8" ht="7.95" customHeight="1" x14ac:dyDescent="0.25">
      <c r="B29" s="129"/>
      <c r="C29" s="130"/>
      <c r="D29" s="130"/>
      <c r="E29" s="130"/>
      <c r="F29" s="130"/>
      <c r="G29" s="130"/>
      <c r="H29" s="131"/>
    </row>
    <row r="30" spans="2:8" x14ac:dyDescent="0.25">
      <c r="B30" s="277" t="s">
        <v>47</v>
      </c>
      <c r="C30" s="278"/>
      <c r="D30" s="278"/>
      <c r="E30" s="278"/>
      <c r="F30" s="278"/>
      <c r="G30" s="278"/>
      <c r="H30" s="279"/>
    </row>
    <row r="31" spans="2:8" ht="14.4" x14ac:dyDescent="0.3">
      <c r="B31" s="132" t="s">
        <v>44</v>
      </c>
      <c r="C31" s="280" t="s">
        <v>45</v>
      </c>
      <c r="D31" s="280"/>
      <c r="E31" s="280"/>
      <c r="F31" s="280" t="s">
        <v>8</v>
      </c>
      <c r="G31" s="280"/>
      <c r="H31" s="281"/>
    </row>
    <row r="32" spans="2:8" x14ac:dyDescent="0.25">
      <c r="B32" s="143"/>
      <c r="C32" s="284"/>
      <c r="D32" s="284"/>
      <c r="E32" s="284"/>
      <c r="F32" s="284"/>
      <c r="G32" s="284"/>
      <c r="H32" s="285"/>
    </row>
    <row r="33" spans="2:8" x14ac:dyDescent="0.25">
      <c r="B33" s="143"/>
      <c r="C33" s="284"/>
      <c r="D33" s="284"/>
      <c r="E33" s="284"/>
      <c r="F33" s="284"/>
      <c r="G33" s="284"/>
      <c r="H33" s="285"/>
    </row>
    <row r="34" spans="2:8" x14ac:dyDescent="0.25">
      <c r="B34" s="143"/>
      <c r="C34" s="284"/>
      <c r="D34" s="284"/>
      <c r="E34" s="284"/>
      <c r="F34" s="284"/>
      <c r="G34" s="284"/>
      <c r="H34" s="285"/>
    </row>
    <row r="35" spans="2:8" ht="7.95" customHeight="1" x14ac:dyDescent="0.25">
      <c r="B35" s="129"/>
      <c r="C35" s="130"/>
      <c r="D35" s="130"/>
      <c r="E35" s="130"/>
      <c r="F35" s="130"/>
      <c r="G35" s="130"/>
      <c r="H35" s="131"/>
    </row>
    <row r="36" spans="2:8" x14ac:dyDescent="0.25">
      <c r="B36" s="277" t="s">
        <v>46</v>
      </c>
      <c r="C36" s="278"/>
      <c r="D36" s="278"/>
      <c r="E36" s="278"/>
      <c r="F36" s="278"/>
      <c r="G36" s="278"/>
      <c r="H36" s="279"/>
    </row>
    <row r="37" spans="2:8" ht="14.4" x14ac:dyDescent="0.3">
      <c r="B37" s="132" t="s">
        <v>44</v>
      </c>
      <c r="C37" s="280" t="s">
        <v>45</v>
      </c>
      <c r="D37" s="280"/>
      <c r="E37" s="280"/>
      <c r="F37" s="280" t="s">
        <v>8</v>
      </c>
      <c r="G37" s="280"/>
      <c r="H37" s="281"/>
    </row>
    <row r="38" spans="2:8" x14ac:dyDescent="0.25">
      <c r="B38" s="143"/>
      <c r="C38" s="284"/>
      <c r="D38" s="284"/>
      <c r="E38" s="284"/>
      <c r="F38" s="284"/>
      <c r="G38" s="284"/>
      <c r="H38" s="285"/>
    </row>
    <row r="39" spans="2:8" x14ac:dyDescent="0.25">
      <c r="B39" s="143"/>
      <c r="C39" s="284"/>
      <c r="D39" s="284"/>
      <c r="E39" s="284"/>
      <c r="F39" s="284"/>
      <c r="G39" s="284"/>
      <c r="H39" s="285"/>
    </row>
    <row r="40" spans="2:8" x14ac:dyDescent="0.25">
      <c r="B40" s="143"/>
      <c r="C40" s="284"/>
      <c r="D40" s="284"/>
      <c r="E40" s="284"/>
      <c r="F40" s="284"/>
      <c r="G40" s="284"/>
      <c r="H40" s="285"/>
    </row>
    <row r="41" spans="2:8" ht="7.95" customHeight="1" x14ac:dyDescent="0.25">
      <c r="B41" s="129"/>
      <c r="C41" s="130"/>
      <c r="D41" s="130"/>
      <c r="E41" s="130"/>
      <c r="F41" s="130"/>
      <c r="G41" s="130"/>
      <c r="H41" s="131"/>
    </row>
    <row r="42" spans="2:8" x14ac:dyDescent="0.25">
      <c r="B42" s="277" t="s">
        <v>48</v>
      </c>
      <c r="C42" s="278"/>
      <c r="D42" s="278"/>
      <c r="E42" s="278"/>
      <c r="F42" s="278"/>
      <c r="G42" s="278"/>
      <c r="H42" s="279"/>
    </row>
    <row r="43" spans="2:8" ht="14.4" x14ac:dyDescent="0.3">
      <c r="B43" s="132" t="s">
        <v>44</v>
      </c>
      <c r="C43" s="133" t="s">
        <v>405</v>
      </c>
      <c r="D43" s="134" t="s">
        <v>49</v>
      </c>
      <c r="E43" s="134" t="s">
        <v>50</v>
      </c>
      <c r="F43" s="280" t="s">
        <v>8</v>
      </c>
      <c r="G43" s="280"/>
      <c r="H43" s="281"/>
    </row>
    <row r="44" spans="2:8" x14ac:dyDescent="0.25">
      <c r="B44" s="140"/>
      <c r="C44" s="141"/>
      <c r="D44" s="142"/>
      <c r="E44" s="142"/>
      <c r="F44" s="256"/>
      <c r="G44" s="256"/>
      <c r="H44" s="282"/>
    </row>
    <row r="45" spans="2:8" x14ac:dyDescent="0.25">
      <c r="B45" s="140"/>
      <c r="C45" s="141"/>
      <c r="D45" s="142"/>
      <c r="E45" s="142"/>
      <c r="F45" s="256"/>
      <c r="G45" s="256"/>
      <c r="H45" s="282"/>
    </row>
    <row r="46" spans="2:8" x14ac:dyDescent="0.25">
      <c r="B46" s="140"/>
      <c r="C46" s="141"/>
      <c r="D46" s="142"/>
      <c r="E46" s="142"/>
      <c r="F46" s="256"/>
      <c r="G46" s="256"/>
      <c r="H46" s="282"/>
    </row>
    <row r="47" spans="2:8" ht="7.95" customHeight="1" x14ac:dyDescent="0.25">
      <c r="B47" s="129"/>
      <c r="C47" s="130"/>
      <c r="D47" s="130"/>
      <c r="E47" s="130"/>
      <c r="F47" s="130"/>
      <c r="G47" s="130"/>
      <c r="H47" s="131"/>
    </row>
    <row r="48" spans="2:8" x14ac:dyDescent="0.25">
      <c r="B48" s="277" t="s">
        <v>51</v>
      </c>
      <c r="C48" s="278"/>
      <c r="D48" s="278"/>
      <c r="E48" s="278"/>
      <c r="F48" s="278"/>
      <c r="G48" s="278"/>
      <c r="H48" s="279"/>
    </row>
    <row r="49" spans="2:8" ht="14.4" x14ac:dyDescent="0.3">
      <c r="B49" s="135" t="s">
        <v>2</v>
      </c>
      <c r="C49" s="283" t="s">
        <v>52</v>
      </c>
      <c r="D49" s="283"/>
      <c r="E49" s="283"/>
      <c r="F49" s="280" t="s">
        <v>8</v>
      </c>
      <c r="G49" s="280"/>
      <c r="H49" s="281"/>
    </row>
    <row r="50" spans="2:8" x14ac:dyDescent="0.25">
      <c r="B50" s="144"/>
      <c r="C50" s="286"/>
      <c r="D50" s="286"/>
      <c r="E50" s="286"/>
      <c r="F50" s="284"/>
      <c r="G50" s="284"/>
      <c r="H50" s="285"/>
    </row>
    <row r="51" spans="2:8" ht="7.95" customHeight="1" thickBot="1" x14ac:dyDescent="0.3">
      <c r="B51" s="136"/>
      <c r="C51" s="137"/>
      <c r="D51" s="137"/>
      <c r="E51" s="137"/>
      <c r="F51" s="137"/>
      <c r="G51" s="137"/>
      <c r="H51" s="138"/>
    </row>
  </sheetData>
  <sheetProtection sheet="1" objects="1" scenarios="1" insertColumns="0" insertRows="0" deleteColumns="0" deleteRows="0"/>
  <mergeCells count="59">
    <mergeCell ref="C50:E50"/>
    <mergeCell ref="F50:H50"/>
    <mergeCell ref="F44:H44"/>
    <mergeCell ref="F45:H45"/>
    <mergeCell ref="F46:H46"/>
    <mergeCell ref="B48:H48"/>
    <mergeCell ref="C49:E49"/>
    <mergeCell ref="F49:H49"/>
    <mergeCell ref="F43:H43"/>
    <mergeCell ref="C34:E34"/>
    <mergeCell ref="F34:H34"/>
    <mergeCell ref="B36:H36"/>
    <mergeCell ref="C37:E37"/>
    <mergeCell ref="F37:H37"/>
    <mergeCell ref="C38:E38"/>
    <mergeCell ref="F38:H38"/>
    <mergeCell ref="C39:E39"/>
    <mergeCell ref="F39:H39"/>
    <mergeCell ref="C40:E40"/>
    <mergeCell ref="F40:H40"/>
    <mergeCell ref="B42:H42"/>
    <mergeCell ref="C31:E31"/>
    <mergeCell ref="F31:H31"/>
    <mergeCell ref="C32:E32"/>
    <mergeCell ref="F32:H32"/>
    <mergeCell ref="C33:E33"/>
    <mergeCell ref="F33:H33"/>
    <mergeCell ref="B30:H30"/>
    <mergeCell ref="B17:H17"/>
    <mergeCell ref="F18:H18"/>
    <mergeCell ref="F19:H19"/>
    <mergeCell ref="F20:H20"/>
    <mergeCell ref="F21:H21"/>
    <mergeCell ref="B23:H23"/>
    <mergeCell ref="C24:E24"/>
    <mergeCell ref="F24:H24"/>
    <mergeCell ref="C25:E25"/>
    <mergeCell ref="F25:H25"/>
    <mergeCell ref="D28:E28"/>
    <mergeCell ref="C13:E13"/>
    <mergeCell ref="F13:H13"/>
    <mergeCell ref="C14:E14"/>
    <mergeCell ref="F14:H14"/>
    <mergeCell ref="C15:E15"/>
    <mergeCell ref="F15:H15"/>
    <mergeCell ref="C12:E12"/>
    <mergeCell ref="F12:H12"/>
    <mergeCell ref="B1:H1"/>
    <mergeCell ref="D3:E3"/>
    <mergeCell ref="B5:H5"/>
    <mergeCell ref="C6:E6"/>
    <mergeCell ref="F6:H6"/>
    <mergeCell ref="C7:E7"/>
    <mergeCell ref="F7:H7"/>
    <mergeCell ref="C8:E8"/>
    <mergeCell ref="F8:H8"/>
    <mergeCell ref="C9:E9"/>
    <mergeCell ref="F9:H9"/>
    <mergeCell ref="B11:H11"/>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H41"/>
  <sheetViews>
    <sheetView zoomScaleNormal="100" zoomScalePageLayoutView="70" workbookViewId="0">
      <selection activeCell="I11" sqref="I11"/>
    </sheetView>
  </sheetViews>
  <sheetFormatPr baseColWidth="10" defaultRowHeight="13.8" x14ac:dyDescent="0.25"/>
  <cols>
    <col min="1" max="1" width="7" style="1" customWidth="1"/>
    <col min="2" max="2" width="4.88671875" style="1" customWidth="1"/>
    <col min="3" max="3" width="20.6640625" style="1" customWidth="1"/>
    <col min="4" max="4" width="1.77734375" style="1" customWidth="1"/>
    <col min="5" max="5" width="4.88671875" style="1" customWidth="1"/>
    <col min="6" max="6" width="21.33203125" style="1" customWidth="1"/>
    <col min="7" max="7" width="4.88671875" style="1" customWidth="1"/>
    <col min="8" max="8" width="24.33203125" style="1" customWidth="1"/>
    <col min="9" max="16384" width="11.5546875" style="1"/>
  </cols>
  <sheetData>
    <row r="1" spans="1:8" ht="15" customHeight="1" thickBot="1" x14ac:dyDescent="0.3">
      <c r="B1" s="262" t="s">
        <v>77</v>
      </c>
      <c r="C1" s="263"/>
      <c r="D1" s="263"/>
      <c r="E1" s="263"/>
      <c r="F1" s="263"/>
      <c r="G1" s="263"/>
      <c r="H1" s="264"/>
    </row>
    <row r="2" spans="1:8" ht="7.95" customHeight="1" x14ac:dyDescent="0.25">
      <c r="B2" s="10"/>
      <c r="C2" s="11"/>
      <c r="D2" s="11"/>
      <c r="E2" s="11"/>
      <c r="F2" s="12"/>
      <c r="G2" s="11"/>
      <c r="H2" s="11"/>
    </row>
    <row r="3" spans="1:8" x14ac:dyDescent="0.25">
      <c r="A3" s="15"/>
      <c r="B3" s="14" t="s">
        <v>78</v>
      </c>
    </row>
    <row r="4" spans="1:8" ht="7.95" customHeight="1" thickBot="1" x14ac:dyDescent="0.3">
      <c r="A4" s="15"/>
      <c r="B4" s="29"/>
      <c r="C4" s="29"/>
      <c r="D4" s="29"/>
      <c r="E4" s="29"/>
      <c r="F4" s="29"/>
      <c r="G4" s="29"/>
      <c r="H4" s="29"/>
    </row>
    <row r="5" spans="1:8" ht="13.8" customHeight="1" thickTop="1" x14ac:dyDescent="0.25">
      <c r="A5" s="15"/>
      <c r="B5" s="293"/>
      <c r="C5" s="31" t="s">
        <v>79</v>
      </c>
      <c r="D5" s="32"/>
      <c r="E5" s="293"/>
      <c r="F5" s="31" t="s">
        <v>90</v>
      </c>
      <c r="G5" s="32"/>
      <c r="H5" s="289" t="s">
        <v>106</v>
      </c>
    </row>
    <row r="6" spans="1:8" x14ac:dyDescent="0.25">
      <c r="A6" s="15"/>
      <c r="B6" s="294"/>
      <c r="C6" s="16" t="s">
        <v>80</v>
      </c>
      <c r="D6" s="2"/>
      <c r="E6" s="294"/>
      <c r="F6" s="16" t="s">
        <v>80</v>
      </c>
      <c r="G6" s="2"/>
      <c r="H6" s="290"/>
    </row>
    <row r="7" spans="1:8" ht="13.8" customHeight="1" x14ac:dyDescent="0.25">
      <c r="A7" s="15"/>
      <c r="B7" s="291"/>
      <c r="C7" s="25" t="s">
        <v>81</v>
      </c>
      <c r="D7" s="26"/>
      <c r="E7" s="295"/>
      <c r="F7" s="25" t="s">
        <v>101</v>
      </c>
      <c r="G7" s="26"/>
      <c r="H7" s="287" t="s">
        <v>407</v>
      </c>
    </row>
    <row r="8" spans="1:8" ht="13.8" customHeight="1" x14ac:dyDescent="0.25">
      <c r="A8" s="15"/>
      <c r="B8" s="292"/>
      <c r="C8" s="27" t="s">
        <v>82</v>
      </c>
      <c r="D8" s="28"/>
      <c r="E8" s="296"/>
      <c r="F8" s="27" t="s">
        <v>82</v>
      </c>
      <c r="G8" s="28"/>
      <c r="H8" s="288"/>
    </row>
    <row r="9" spans="1:8" ht="13.8" customHeight="1" x14ac:dyDescent="0.25">
      <c r="A9" s="15"/>
      <c r="B9" s="16"/>
      <c r="C9" s="16" t="s">
        <v>83</v>
      </c>
      <c r="D9" s="2"/>
      <c r="E9" s="2"/>
      <c r="F9" s="16" t="s">
        <v>102</v>
      </c>
      <c r="G9" s="2"/>
      <c r="H9" s="116" t="s">
        <v>107</v>
      </c>
    </row>
    <row r="10" spans="1:8" ht="14.4" customHeight="1" x14ac:dyDescent="0.25">
      <c r="A10" s="15"/>
      <c r="B10" s="33"/>
      <c r="C10" s="33" t="s">
        <v>84</v>
      </c>
      <c r="D10" s="34"/>
      <c r="E10" s="34"/>
      <c r="F10" s="33" t="s">
        <v>105</v>
      </c>
      <c r="G10" s="34"/>
      <c r="H10" s="117" t="s">
        <v>108</v>
      </c>
    </row>
    <row r="11" spans="1:8" ht="30" customHeight="1" x14ac:dyDescent="0.25">
      <c r="B11" s="16"/>
      <c r="C11" s="16" t="s">
        <v>85</v>
      </c>
      <c r="D11" s="2"/>
      <c r="E11" s="2"/>
      <c r="F11" s="16" t="s">
        <v>103</v>
      </c>
      <c r="G11" s="2"/>
      <c r="H11" s="116" t="s">
        <v>408</v>
      </c>
    </row>
    <row r="12" spans="1:8" ht="25.8" customHeight="1" x14ac:dyDescent="0.25">
      <c r="A12" s="15"/>
      <c r="B12" s="33"/>
      <c r="C12" s="35" t="s">
        <v>86</v>
      </c>
      <c r="D12" s="34"/>
      <c r="E12" s="34"/>
      <c r="F12" s="33" t="s">
        <v>104</v>
      </c>
      <c r="G12" s="34"/>
      <c r="H12" s="118" t="s">
        <v>109</v>
      </c>
    </row>
    <row r="13" spans="1:8" ht="25.8" customHeight="1" x14ac:dyDescent="0.25">
      <c r="A13" s="15"/>
      <c r="B13" s="16"/>
      <c r="C13" s="16" t="s">
        <v>87</v>
      </c>
      <c r="D13" s="2"/>
      <c r="E13" s="2"/>
      <c r="F13" s="16"/>
      <c r="G13" s="2"/>
      <c r="H13" s="119" t="s">
        <v>110</v>
      </c>
    </row>
    <row r="14" spans="1:8" ht="25.8" customHeight="1" x14ac:dyDescent="0.25">
      <c r="A14" s="15"/>
      <c r="B14" s="33"/>
      <c r="C14" s="33" t="s">
        <v>88</v>
      </c>
      <c r="D14" s="34"/>
      <c r="E14" s="34"/>
      <c r="F14" s="33"/>
      <c r="G14" s="34"/>
      <c r="H14" s="118" t="s">
        <v>407</v>
      </c>
    </row>
    <row r="15" spans="1:8" ht="21.6" customHeight="1" thickBot="1" x14ac:dyDescent="0.3">
      <c r="A15" s="15"/>
      <c r="B15" s="30"/>
      <c r="C15" s="30" t="s">
        <v>89</v>
      </c>
      <c r="D15" s="29"/>
      <c r="E15" s="29"/>
      <c r="F15" s="30"/>
      <c r="G15" s="29"/>
      <c r="H15" s="120" t="s">
        <v>111</v>
      </c>
    </row>
    <row r="16" spans="1:8" ht="10.050000000000001" customHeight="1" thickTop="1" x14ac:dyDescent="0.25">
      <c r="A16" s="15"/>
    </row>
    <row r="17" spans="1:8" x14ac:dyDescent="0.25">
      <c r="A17" s="15"/>
      <c r="B17" s="14" t="s">
        <v>112</v>
      </c>
    </row>
    <row r="18" spans="1:8" ht="7.95" customHeight="1" x14ac:dyDescent="0.25">
      <c r="A18" s="15"/>
    </row>
    <row r="19" spans="1:8" x14ac:dyDescent="0.25">
      <c r="A19" s="15"/>
      <c r="B19" s="297" t="s">
        <v>127</v>
      </c>
      <c r="C19" s="297"/>
      <c r="G19" s="297" t="s">
        <v>151</v>
      </c>
      <c r="H19" s="297"/>
    </row>
    <row r="20" spans="1:8" ht="13.8" customHeight="1" x14ac:dyDescent="0.25">
      <c r="B20" s="23">
        <v>0</v>
      </c>
      <c r="C20" s="290" t="s">
        <v>113</v>
      </c>
      <c r="D20" s="290"/>
      <c r="E20" s="290"/>
      <c r="F20" s="290"/>
      <c r="G20" s="23">
        <v>0</v>
      </c>
      <c r="H20" s="36" t="s">
        <v>119</v>
      </c>
    </row>
    <row r="21" spans="1:8" ht="13.8" customHeight="1" x14ac:dyDescent="0.25">
      <c r="A21" s="15"/>
      <c r="B21" s="23">
        <v>1</v>
      </c>
      <c r="C21" s="290" t="s">
        <v>114</v>
      </c>
      <c r="D21" s="290"/>
      <c r="E21" s="290"/>
      <c r="F21" s="290"/>
      <c r="G21" s="23">
        <v>1</v>
      </c>
      <c r="H21" s="36" t="s">
        <v>121</v>
      </c>
    </row>
    <row r="22" spans="1:8" x14ac:dyDescent="0.25">
      <c r="A22" s="15"/>
      <c r="B22" s="23">
        <v>2</v>
      </c>
      <c r="C22" s="290" t="s">
        <v>115</v>
      </c>
      <c r="D22" s="290"/>
      <c r="E22" s="290"/>
      <c r="F22" s="290"/>
      <c r="G22" s="23">
        <v>2</v>
      </c>
      <c r="H22" s="36" t="s">
        <v>120</v>
      </c>
    </row>
    <row r="23" spans="1:8" x14ac:dyDescent="0.25">
      <c r="A23" s="15"/>
      <c r="B23" s="23">
        <v>3</v>
      </c>
      <c r="C23" s="290" t="s">
        <v>117</v>
      </c>
      <c r="D23" s="290"/>
      <c r="E23" s="290"/>
      <c r="F23" s="290"/>
    </row>
    <row r="24" spans="1:8" x14ac:dyDescent="0.25">
      <c r="A24" s="15"/>
      <c r="B24" s="23">
        <v>4</v>
      </c>
      <c r="C24" s="290" t="s">
        <v>116</v>
      </c>
      <c r="D24" s="290"/>
      <c r="E24" s="290"/>
      <c r="F24" s="290"/>
      <c r="G24" s="298" t="s">
        <v>143</v>
      </c>
      <c r="H24" s="298"/>
    </row>
    <row r="25" spans="1:8" x14ac:dyDescent="0.25">
      <c r="A25" s="15"/>
      <c r="B25" s="23">
        <v>5</v>
      </c>
      <c r="C25" s="290" t="s">
        <v>118</v>
      </c>
      <c r="D25" s="290"/>
      <c r="E25" s="290"/>
      <c r="F25" s="290"/>
      <c r="G25" s="23">
        <v>0</v>
      </c>
      <c r="H25" s="36" t="s">
        <v>147</v>
      </c>
    </row>
    <row r="26" spans="1:8" ht="13.8" customHeight="1" x14ac:dyDescent="0.25">
      <c r="A26" s="15"/>
      <c r="B26" s="24"/>
      <c r="G26" s="23">
        <v>1</v>
      </c>
      <c r="H26" s="36" t="s">
        <v>148</v>
      </c>
    </row>
    <row r="27" spans="1:8" ht="13.8" customHeight="1" x14ac:dyDescent="0.25">
      <c r="A27" s="15"/>
      <c r="B27" s="297" t="s">
        <v>128</v>
      </c>
      <c r="C27" s="297"/>
      <c r="D27" s="297"/>
      <c r="E27" s="297"/>
      <c r="F27" s="297"/>
      <c r="G27" s="38">
        <v>2</v>
      </c>
      <c r="H27" s="39" t="s">
        <v>149</v>
      </c>
    </row>
    <row r="28" spans="1:8" x14ac:dyDescent="0.25">
      <c r="A28" s="15"/>
      <c r="B28" s="23">
        <v>0</v>
      </c>
      <c r="C28" s="290" t="s">
        <v>123</v>
      </c>
      <c r="D28" s="290"/>
      <c r="E28" s="290"/>
      <c r="F28" s="290"/>
      <c r="G28" s="23">
        <v>0</v>
      </c>
      <c r="H28" s="36" t="s">
        <v>147</v>
      </c>
    </row>
    <row r="29" spans="1:8" x14ac:dyDescent="0.25">
      <c r="B29" s="23">
        <v>1</v>
      </c>
      <c r="C29" s="290" t="s">
        <v>124</v>
      </c>
      <c r="D29" s="290"/>
      <c r="E29" s="290"/>
      <c r="F29" s="290"/>
      <c r="G29" s="23">
        <v>1</v>
      </c>
      <c r="H29" s="36" t="s">
        <v>148</v>
      </c>
    </row>
    <row r="30" spans="1:8" ht="27" customHeight="1" x14ac:dyDescent="0.25">
      <c r="A30" s="15"/>
      <c r="B30" s="23" t="s">
        <v>122</v>
      </c>
      <c r="C30" s="290" t="s">
        <v>145</v>
      </c>
      <c r="D30" s="290"/>
      <c r="E30" s="290"/>
      <c r="F30" s="290"/>
      <c r="G30" s="38">
        <v>2</v>
      </c>
      <c r="H30" s="39" t="s">
        <v>149</v>
      </c>
    </row>
    <row r="31" spans="1:8" x14ac:dyDescent="0.25">
      <c r="A31" s="15"/>
      <c r="B31" s="23">
        <v>2</v>
      </c>
      <c r="C31" s="290" t="s">
        <v>144</v>
      </c>
      <c r="D31" s="290"/>
      <c r="E31" s="290"/>
      <c r="F31" s="290"/>
      <c r="H31" s="36"/>
    </row>
    <row r="32" spans="1:8" x14ac:dyDescent="0.25">
      <c r="A32" s="15"/>
      <c r="B32" s="23">
        <v>3</v>
      </c>
      <c r="C32" s="290" t="s">
        <v>125</v>
      </c>
      <c r="D32" s="290"/>
      <c r="E32" s="290"/>
      <c r="F32" s="290"/>
      <c r="G32" s="297" t="s">
        <v>129</v>
      </c>
      <c r="H32" s="297"/>
    </row>
    <row r="33" spans="1:8" ht="14.4" x14ac:dyDescent="0.3">
      <c r="A33" s="15"/>
      <c r="B33" s="23">
        <v>4</v>
      </c>
      <c r="C33" s="290" t="s">
        <v>126</v>
      </c>
      <c r="D33" s="290"/>
      <c r="E33" s="290"/>
      <c r="F33" s="290"/>
      <c r="G33" s="37" t="s">
        <v>141</v>
      </c>
      <c r="H33" s="37"/>
    </row>
    <row r="34" spans="1:8" ht="14.4" customHeight="1" x14ac:dyDescent="0.3">
      <c r="A34" s="15"/>
      <c r="B34" s="24"/>
      <c r="G34" s="37" t="s">
        <v>142</v>
      </c>
      <c r="H34" s="37"/>
    </row>
    <row r="35" spans="1:8" ht="13.8" customHeight="1" x14ac:dyDescent="0.25">
      <c r="A35" s="15"/>
      <c r="B35" s="297" t="s">
        <v>131</v>
      </c>
      <c r="C35" s="297"/>
      <c r="D35" s="297"/>
      <c r="E35" s="297"/>
      <c r="F35" s="297"/>
    </row>
    <row r="36" spans="1:8" ht="13.8" customHeight="1" x14ac:dyDescent="0.25">
      <c r="A36" s="15"/>
      <c r="B36" s="23">
        <v>0</v>
      </c>
      <c r="C36" s="290" t="s">
        <v>132</v>
      </c>
      <c r="D36" s="290"/>
      <c r="E36" s="290"/>
      <c r="F36" s="290"/>
      <c r="G36" s="297" t="s">
        <v>130</v>
      </c>
      <c r="H36" s="297"/>
    </row>
    <row r="37" spans="1:8" ht="13.8" customHeight="1" x14ac:dyDescent="0.25">
      <c r="B37" s="23" t="s">
        <v>133</v>
      </c>
      <c r="C37" s="290" t="s">
        <v>146</v>
      </c>
      <c r="D37" s="290"/>
      <c r="E37" s="290"/>
      <c r="F37" s="290"/>
      <c r="G37" s="23">
        <v>0</v>
      </c>
      <c r="H37" s="36" t="s">
        <v>138</v>
      </c>
    </row>
    <row r="38" spans="1:8" ht="13.8" customHeight="1" x14ac:dyDescent="0.25">
      <c r="A38" s="15"/>
      <c r="B38" s="23">
        <v>1</v>
      </c>
      <c r="C38" s="290" t="s">
        <v>135</v>
      </c>
      <c r="D38" s="290"/>
      <c r="E38" s="290"/>
      <c r="F38" s="290"/>
      <c r="G38" s="23">
        <v>1</v>
      </c>
      <c r="H38" s="36" t="s">
        <v>139</v>
      </c>
    </row>
    <row r="39" spans="1:8" ht="24.6" customHeight="1" x14ac:dyDescent="0.25">
      <c r="A39" s="15"/>
      <c r="B39" s="23" t="s">
        <v>134</v>
      </c>
      <c r="C39" s="290" t="s">
        <v>136</v>
      </c>
      <c r="D39" s="290"/>
      <c r="E39" s="290"/>
      <c r="F39" s="290"/>
      <c r="G39" s="23">
        <v>2</v>
      </c>
      <c r="H39" s="36" t="s">
        <v>140</v>
      </c>
    </row>
    <row r="40" spans="1:8" x14ac:dyDescent="0.25">
      <c r="A40" s="15"/>
      <c r="B40" s="23">
        <v>2</v>
      </c>
      <c r="C40" s="290" t="s">
        <v>137</v>
      </c>
      <c r="D40" s="290"/>
      <c r="E40" s="290"/>
      <c r="F40" s="290"/>
      <c r="G40" s="23">
        <v>3</v>
      </c>
      <c r="H40" s="36" t="s">
        <v>150</v>
      </c>
    </row>
    <row r="41" spans="1:8" ht="15" customHeight="1" x14ac:dyDescent="0.25">
      <c r="G41" s="23">
        <v>4</v>
      </c>
      <c r="H41" s="36" t="s">
        <v>406</v>
      </c>
    </row>
  </sheetData>
  <sheetProtection algorithmName="SHA-512" hashValue="wltjfaRGuTcdnNfrlC5MPorGm/UNYcQX43ijmXwmMqtM1DKjJPP+7GYg4SpvjF90ND2SZlIpcQWvcbZFYwMI1g==" saltValue="VUTXvdfj8UPjOpP7h8SmhA==" spinCount="100000" sheet="1" objects="1" scenarios="1" selectLockedCells="1" selectUnlockedCells="1"/>
  <mergeCells count="31">
    <mergeCell ref="C37:F37"/>
    <mergeCell ref="C38:F38"/>
    <mergeCell ref="C39:F39"/>
    <mergeCell ref="C40:F40"/>
    <mergeCell ref="C36:F36"/>
    <mergeCell ref="C33:F33"/>
    <mergeCell ref="G36:H36"/>
    <mergeCell ref="G32:H32"/>
    <mergeCell ref="B35:F35"/>
    <mergeCell ref="C28:F28"/>
    <mergeCell ref="C29:F29"/>
    <mergeCell ref="C30:F30"/>
    <mergeCell ref="C31:F31"/>
    <mergeCell ref="C32:F32"/>
    <mergeCell ref="C23:F23"/>
    <mergeCell ref="C24:F24"/>
    <mergeCell ref="C25:F25"/>
    <mergeCell ref="G19:H19"/>
    <mergeCell ref="B27:F27"/>
    <mergeCell ref="G24:H24"/>
    <mergeCell ref="B19:C19"/>
    <mergeCell ref="C20:F20"/>
    <mergeCell ref="C21:F21"/>
    <mergeCell ref="C22:F22"/>
    <mergeCell ref="H7:H8"/>
    <mergeCell ref="H5:H6"/>
    <mergeCell ref="B7:B8"/>
    <mergeCell ref="B1:H1"/>
    <mergeCell ref="B5:B6"/>
    <mergeCell ref="E5:E6"/>
    <mergeCell ref="E7:E8"/>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B1:L96"/>
  <sheetViews>
    <sheetView zoomScaleNormal="100" zoomScalePageLayoutView="70" workbookViewId="0">
      <selection activeCell="I19" sqref="I19"/>
    </sheetView>
  </sheetViews>
  <sheetFormatPr baseColWidth="10" defaultRowHeight="13.8" x14ac:dyDescent="0.25"/>
  <cols>
    <col min="1" max="1" width="7" style="1" customWidth="1"/>
    <col min="2" max="2" width="3.109375" style="1" bestFit="1" customWidth="1"/>
    <col min="3" max="3" width="3" style="1" bestFit="1" customWidth="1"/>
    <col min="4" max="4" width="11.5546875" style="1" customWidth="1"/>
    <col min="5" max="5" width="11.5546875" style="1"/>
    <col min="6" max="6" width="11.5546875" style="1" customWidth="1"/>
    <col min="7" max="7" width="16.77734375" style="1" customWidth="1"/>
    <col min="8" max="9" width="6.33203125" style="1" customWidth="1"/>
    <col min="10" max="11" width="6.33203125" style="22" customWidth="1"/>
    <col min="12" max="12" width="11.5546875" style="22" customWidth="1"/>
    <col min="13" max="16384" width="11.5546875" style="1"/>
  </cols>
  <sheetData>
    <row r="1" spans="2:12" ht="15" customHeight="1" thickBot="1" x14ac:dyDescent="0.3">
      <c r="B1" s="262" t="s">
        <v>410</v>
      </c>
      <c r="C1" s="263"/>
      <c r="D1" s="263"/>
      <c r="E1" s="263"/>
      <c r="F1" s="263"/>
      <c r="G1" s="263"/>
      <c r="H1" s="263"/>
      <c r="I1" s="263"/>
      <c r="J1" s="263"/>
      <c r="K1" s="264"/>
      <c r="L1" s="17"/>
    </row>
    <row r="2" spans="2:12" ht="7.95" customHeight="1" thickBot="1" x14ac:dyDescent="0.3">
      <c r="B2" s="10"/>
      <c r="C2" s="11"/>
      <c r="D2" s="11"/>
      <c r="E2" s="11"/>
      <c r="F2" s="12"/>
      <c r="G2" s="11"/>
      <c r="H2" s="11"/>
      <c r="J2" s="18"/>
      <c r="K2" s="18"/>
      <c r="L2" s="18"/>
    </row>
    <row r="3" spans="2:12" ht="15" thickBot="1" x14ac:dyDescent="0.35">
      <c r="B3" s="40"/>
      <c r="C3" s="40"/>
      <c r="D3" s="40"/>
      <c r="E3" s="40"/>
      <c r="F3" s="40"/>
      <c r="G3" s="40"/>
      <c r="H3" s="307" t="s">
        <v>49</v>
      </c>
      <c r="I3" s="308"/>
      <c r="J3" s="307" t="s">
        <v>50</v>
      </c>
      <c r="K3" s="384"/>
    </row>
    <row r="4" spans="2:12" x14ac:dyDescent="0.25">
      <c r="B4" s="381" t="s">
        <v>152</v>
      </c>
      <c r="C4" s="41">
        <v>1</v>
      </c>
      <c r="D4" s="332" t="s">
        <v>156</v>
      </c>
      <c r="E4" s="333"/>
      <c r="F4" s="333"/>
      <c r="G4" s="420"/>
      <c r="H4" s="400"/>
      <c r="I4" s="401"/>
      <c r="J4" s="400"/>
      <c r="K4" s="401"/>
    </row>
    <row r="5" spans="2:12" x14ac:dyDescent="0.25">
      <c r="B5" s="330"/>
      <c r="C5" s="42">
        <v>2</v>
      </c>
      <c r="D5" s="348" t="s">
        <v>157</v>
      </c>
      <c r="E5" s="349"/>
      <c r="F5" s="349"/>
      <c r="G5" s="446"/>
      <c r="H5" s="438"/>
      <c r="I5" s="439"/>
      <c r="J5" s="438"/>
      <c r="K5" s="439"/>
    </row>
    <row r="6" spans="2:12" x14ac:dyDescent="0.25">
      <c r="B6" s="330"/>
      <c r="C6" s="42">
        <v>3</v>
      </c>
      <c r="D6" s="348" t="s">
        <v>158</v>
      </c>
      <c r="E6" s="349"/>
      <c r="F6" s="349"/>
      <c r="G6" s="446"/>
      <c r="H6" s="62"/>
      <c r="I6" s="63"/>
      <c r="J6" s="62"/>
      <c r="K6" s="63"/>
    </row>
    <row r="7" spans="2:12" ht="14.4" thickBot="1" x14ac:dyDescent="0.3">
      <c r="B7" s="330"/>
      <c r="C7" s="43">
        <v>4</v>
      </c>
      <c r="D7" s="350" t="s">
        <v>159</v>
      </c>
      <c r="E7" s="351"/>
      <c r="F7" s="351"/>
      <c r="G7" s="447"/>
      <c r="H7" s="64"/>
      <c r="I7" s="65"/>
      <c r="J7" s="64"/>
      <c r="K7" s="65"/>
    </row>
    <row r="8" spans="2:12" ht="14.4" thickBot="1" x14ac:dyDescent="0.3">
      <c r="B8" s="330"/>
      <c r="C8" s="44">
        <v>5</v>
      </c>
      <c r="D8" s="448" t="s">
        <v>160</v>
      </c>
      <c r="E8" s="449"/>
      <c r="F8" s="449"/>
      <c r="G8" s="450"/>
      <c r="H8" s="363"/>
      <c r="I8" s="364"/>
      <c r="J8" s="363"/>
      <c r="K8" s="364"/>
    </row>
    <row r="9" spans="2:12" x14ac:dyDescent="0.25">
      <c r="B9" s="330"/>
      <c r="C9" s="45">
        <v>6</v>
      </c>
      <c r="D9" s="354" t="s">
        <v>161</v>
      </c>
      <c r="E9" s="355"/>
      <c r="F9" s="355"/>
      <c r="G9" s="356"/>
      <c r="H9" s="66"/>
      <c r="I9" s="67"/>
      <c r="J9" s="66"/>
      <c r="K9" s="67"/>
    </row>
    <row r="10" spans="2:12" x14ac:dyDescent="0.25">
      <c r="B10" s="330"/>
      <c r="C10" s="46">
        <v>7</v>
      </c>
      <c r="D10" s="357" t="s">
        <v>162</v>
      </c>
      <c r="E10" s="358"/>
      <c r="F10" s="358"/>
      <c r="G10" s="359"/>
      <c r="H10" s="68"/>
      <c r="I10" s="69"/>
      <c r="J10" s="68"/>
      <c r="K10" s="69"/>
    </row>
    <row r="11" spans="2:12" ht="14.4" thickBot="1" x14ac:dyDescent="0.3">
      <c r="B11" s="330"/>
      <c r="C11" s="47">
        <v>8</v>
      </c>
      <c r="D11" s="339" t="s">
        <v>163</v>
      </c>
      <c r="E11" s="340"/>
      <c r="F11" s="340"/>
      <c r="G11" s="341"/>
      <c r="H11" s="70"/>
      <c r="I11" s="71"/>
      <c r="J11" s="70"/>
      <c r="K11" s="71"/>
    </row>
    <row r="12" spans="2:12" ht="14.4" thickBot="1" x14ac:dyDescent="0.3">
      <c r="B12" s="331"/>
      <c r="C12" s="48">
        <v>9</v>
      </c>
      <c r="D12" s="451" t="s">
        <v>164</v>
      </c>
      <c r="E12" s="452"/>
      <c r="F12" s="452"/>
      <c r="G12" s="453"/>
      <c r="H12" s="72"/>
      <c r="I12" s="73"/>
      <c r="J12" s="72"/>
      <c r="K12" s="73"/>
    </row>
    <row r="13" spans="2:12" ht="7.95" customHeight="1" thickBot="1" x14ac:dyDescent="0.35">
      <c r="B13" s="40"/>
      <c r="C13" s="40"/>
      <c r="D13" s="49"/>
      <c r="E13" s="49"/>
      <c r="F13" s="49"/>
      <c r="G13" s="49"/>
      <c r="H13" s="40"/>
      <c r="I13" s="40"/>
      <c r="J13" s="40"/>
      <c r="K13" s="40"/>
    </row>
    <row r="14" spans="2:12" x14ac:dyDescent="0.25">
      <c r="B14" s="381" t="s">
        <v>153</v>
      </c>
      <c r="C14" s="41">
        <v>10</v>
      </c>
      <c r="D14" s="429" t="s">
        <v>165</v>
      </c>
      <c r="E14" s="430"/>
      <c r="F14" s="430"/>
      <c r="G14" s="431"/>
      <c r="H14" s="400"/>
      <c r="I14" s="401"/>
      <c r="J14" s="400"/>
      <c r="K14" s="401"/>
    </row>
    <row r="15" spans="2:12" x14ac:dyDescent="0.25">
      <c r="B15" s="330"/>
      <c r="C15" s="42">
        <v>11</v>
      </c>
      <c r="D15" s="443" t="s">
        <v>166</v>
      </c>
      <c r="E15" s="444"/>
      <c r="F15" s="444"/>
      <c r="G15" s="445"/>
      <c r="H15" s="438"/>
      <c r="I15" s="439"/>
      <c r="J15" s="438"/>
      <c r="K15" s="439"/>
    </row>
    <row r="16" spans="2:12" x14ac:dyDescent="0.25">
      <c r="B16" s="330"/>
      <c r="C16" s="42">
        <v>12</v>
      </c>
      <c r="D16" s="443" t="s">
        <v>167</v>
      </c>
      <c r="E16" s="444"/>
      <c r="F16" s="444"/>
      <c r="G16" s="445"/>
      <c r="H16" s="438"/>
      <c r="I16" s="439"/>
      <c r="J16" s="438"/>
      <c r="K16" s="439"/>
    </row>
    <row r="17" spans="2:11" x14ac:dyDescent="0.25">
      <c r="B17" s="330"/>
      <c r="C17" s="42">
        <v>13</v>
      </c>
      <c r="D17" s="432" t="s">
        <v>168</v>
      </c>
      <c r="E17" s="433"/>
      <c r="F17" s="433"/>
      <c r="G17" s="434"/>
      <c r="H17" s="438"/>
      <c r="I17" s="439"/>
      <c r="J17" s="438"/>
      <c r="K17" s="439"/>
    </row>
    <row r="18" spans="2:11" ht="14.4" thickBot="1" x14ac:dyDescent="0.3">
      <c r="B18" s="330"/>
      <c r="C18" s="43">
        <v>14</v>
      </c>
      <c r="D18" s="440" t="s">
        <v>169</v>
      </c>
      <c r="E18" s="441"/>
      <c r="F18" s="441"/>
      <c r="G18" s="442"/>
      <c r="H18" s="424"/>
      <c r="I18" s="425"/>
      <c r="J18" s="424"/>
      <c r="K18" s="425"/>
    </row>
    <row r="19" spans="2:11" x14ac:dyDescent="0.25">
      <c r="B19" s="330"/>
      <c r="C19" s="45">
        <v>15</v>
      </c>
      <c r="D19" s="354" t="s">
        <v>161</v>
      </c>
      <c r="E19" s="355"/>
      <c r="F19" s="355"/>
      <c r="G19" s="356"/>
      <c r="H19" s="66"/>
      <c r="I19" s="67"/>
      <c r="J19" s="66"/>
      <c r="K19" s="67"/>
    </row>
    <row r="20" spans="2:11" ht="14.4" thickBot="1" x14ac:dyDescent="0.3">
      <c r="B20" s="330"/>
      <c r="C20" s="50">
        <v>16</v>
      </c>
      <c r="D20" s="435" t="s">
        <v>162</v>
      </c>
      <c r="E20" s="436"/>
      <c r="F20" s="436"/>
      <c r="G20" s="437"/>
      <c r="H20" s="70"/>
      <c r="I20" s="71"/>
      <c r="J20" s="70"/>
      <c r="K20" s="71"/>
    </row>
    <row r="21" spans="2:11" x14ac:dyDescent="0.25">
      <c r="B21" s="330"/>
      <c r="C21" s="51">
        <v>17</v>
      </c>
      <c r="D21" s="406" t="s">
        <v>170</v>
      </c>
      <c r="E21" s="407"/>
      <c r="F21" s="407"/>
      <c r="G21" s="408"/>
      <c r="H21" s="66"/>
      <c r="I21" s="67"/>
      <c r="J21" s="66"/>
      <c r="K21" s="67"/>
    </row>
    <row r="22" spans="2:11" ht="14.4" thickBot="1" x14ac:dyDescent="0.3">
      <c r="B22" s="331"/>
      <c r="C22" s="52">
        <v>18</v>
      </c>
      <c r="D22" s="411" t="s">
        <v>171</v>
      </c>
      <c r="E22" s="374"/>
      <c r="F22" s="374"/>
      <c r="G22" s="412"/>
      <c r="H22" s="70"/>
      <c r="I22" s="71"/>
      <c r="J22" s="70"/>
      <c r="K22" s="71"/>
    </row>
    <row r="23" spans="2:11" ht="7.95" customHeight="1" thickBot="1" x14ac:dyDescent="0.35">
      <c r="B23" s="40"/>
      <c r="C23" s="40"/>
      <c r="D23" s="49"/>
      <c r="E23" s="49"/>
      <c r="F23" s="49"/>
      <c r="G23" s="49"/>
      <c r="H23" s="365"/>
      <c r="I23" s="365"/>
      <c r="J23" s="365"/>
      <c r="K23" s="365"/>
    </row>
    <row r="24" spans="2:11" x14ac:dyDescent="0.25">
      <c r="B24" s="381" t="s">
        <v>154</v>
      </c>
      <c r="C24" s="41">
        <v>19</v>
      </c>
      <c r="D24" s="332" t="s">
        <v>172</v>
      </c>
      <c r="E24" s="333"/>
      <c r="F24" s="333"/>
      <c r="G24" s="420"/>
      <c r="H24" s="400"/>
      <c r="I24" s="401"/>
      <c r="J24" s="400"/>
      <c r="K24" s="401"/>
    </row>
    <row r="25" spans="2:11" ht="14.4" thickBot="1" x14ac:dyDescent="0.3">
      <c r="B25" s="330"/>
      <c r="C25" s="53">
        <v>20</v>
      </c>
      <c r="D25" s="421" t="s">
        <v>173</v>
      </c>
      <c r="E25" s="422"/>
      <c r="F25" s="422"/>
      <c r="G25" s="423"/>
      <c r="H25" s="424"/>
      <c r="I25" s="425"/>
      <c r="J25" s="424"/>
      <c r="K25" s="425"/>
    </row>
    <row r="26" spans="2:11" ht="14.4" thickBot="1" x14ac:dyDescent="0.3">
      <c r="B26" s="329"/>
      <c r="C26" s="54">
        <v>21</v>
      </c>
      <c r="D26" s="426" t="s">
        <v>174</v>
      </c>
      <c r="E26" s="427"/>
      <c r="F26" s="427"/>
      <c r="G26" s="428"/>
      <c r="H26" s="363"/>
      <c r="I26" s="364"/>
      <c r="J26" s="363"/>
      <c r="K26" s="364"/>
    </row>
    <row r="27" spans="2:11" x14ac:dyDescent="0.25">
      <c r="B27" s="329"/>
      <c r="C27" s="45">
        <v>22</v>
      </c>
      <c r="D27" s="354" t="s">
        <v>175</v>
      </c>
      <c r="E27" s="355"/>
      <c r="F27" s="355"/>
      <c r="G27" s="356"/>
      <c r="H27" s="74"/>
      <c r="I27" s="67"/>
      <c r="J27" s="66"/>
      <c r="K27" s="67"/>
    </row>
    <row r="28" spans="2:11" x14ac:dyDescent="0.25">
      <c r="B28" s="329"/>
      <c r="C28" s="46">
        <v>23</v>
      </c>
      <c r="D28" s="357" t="s">
        <v>176</v>
      </c>
      <c r="E28" s="358"/>
      <c r="F28" s="358"/>
      <c r="G28" s="359"/>
      <c r="H28" s="75"/>
      <c r="I28" s="69"/>
      <c r="J28" s="68"/>
      <c r="K28" s="69"/>
    </row>
    <row r="29" spans="2:11" x14ac:dyDescent="0.25">
      <c r="B29" s="329"/>
      <c r="C29" s="46">
        <v>24</v>
      </c>
      <c r="D29" s="357" t="s">
        <v>177</v>
      </c>
      <c r="E29" s="358"/>
      <c r="F29" s="358"/>
      <c r="G29" s="359"/>
      <c r="H29" s="75"/>
      <c r="I29" s="69"/>
      <c r="J29" s="68"/>
      <c r="K29" s="69"/>
    </row>
    <row r="30" spans="2:11" ht="14.4" thickBot="1" x14ac:dyDescent="0.3">
      <c r="B30" s="329"/>
      <c r="C30" s="50">
        <v>25</v>
      </c>
      <c r="D30" s="417" t="s">
        <v>178</v>
      </c>
      <c r="E30" s="418"/>
      <c r="F30" s="418"/>
      <c r="G30" s="419"/>
      <c r="H30" s="76"/>
      <c r="I30" s="77"/>
      <c r="J30" s="78"/>
      <c r="K30" s="77"/>
    </row>
    <row r="31" spans="2:11" x14ac:dyDescent="0.25">
      <c r="B31" s="329"/>
      <c r="C31" s="55">
        <v>26</v>
      </c>
      <c r="D31" s="406" t="s">
        <v>143</v>
      </c>
      <c r="E31" s="407"/>
      <c r="F31" s="407"/>
      <c r="G31" s="413"/>
      <c r="H31" s="400"/>
      <c r="I31" s="401"/>
      <c r="J31" s="400"/>
      <c r="K31" s="401"/>
    </row>
    <row r="32" spans="2:11" x14ac:dyDescent="0.25">
      <c r="B32" s="329"/>
      <c r="C32" s="56">
        <v>27</v>
      </c>
      <c r="D32" s="414" t="s">
        <v>179</v>
      </c>
      <c r="E32" s="371"/>
      <c r="F32" s="371"/>
      <c r="G32" s="372"/>
      <c r="H32" s="68"/>
      <c r="I32" s="69"/>
      <c r="J32" s="68"/>
      <c r="K32" s="69"/>
    </row>
    <row r="33" spans="2:11" ht="14.4" thickBot="1" x14ac:dyDescent="0.3">
      <c r="B33" s="342"/>
      <c r="C33" s="57">
        <v>28</v>
      </c>
      <c r="D33" s="411" t="s">
        <v>180</v>
      </c>
      <c r="E33" s="374"/>
      <c r="F33" s="374"/>
      <c r="G33" s="375"/>
      <c r="H33" s="415">
        <f>H24-I32</f>
        <v>0</v>
      </c>
      <c r="I33" s="416"/>
      <c r="J33" s="415">
        <f>J24-K32</f>
        <v>0</v>
      </c>
      <c r="K33" s="416"/>
    </row>
    <row r="34" spans="2:11" ht="7.95" customHeight="1" thickBot="1" x14ac:dyDescent="0.35">
      <c r="B34" s="58"/>
      <c r="C34" s="40"/>
      <c r="D34" s="49"/>
      <c r="E34" s="49"/>
      <c r="F34" s="49"/>
      <c r="G34" s="49"/>
      <c r="H34" s="40"/>
      <c r="I34" s="40"/>
      <c r="J34" s="40"/>
      <c r="K34" s="40"/>
    </row>
    <row r="35" spans="2:11" x14ac:dyDescent="0.25">
      <c r="B35" s="328" t="s">
        <v>155</v>
      </c>
      <c r="C35" s="59">
        <v>29</v>
      </c>
      <c r="D35" s="343" t="s">
        <v>181</v>
      </c>
      <c r="E35" s="344"/>
      <c r="F35" s="344"/>
      <c r="G35" s="399"/>
      <c r="H35" s="400"/>
      <c r="I35" s="401"/>
      <c r="J35" s="400"/>
      <c r="K35" s="401"/>
    </row>
    <row r="36" spans="2:11" x14ac:dyDescent="0.25">
      <c r="B36" s="329"/>
      <c r="C36" s="60">
        <v>30</v>
      </c>
      <c r="D36" s="316" t="s">
        <v>182</v>
      </c>
      <c r="E36" s="326"/>
      <c r="F36" s="326"/>
      <c r="G36" s="402"/>
      <c r="H36" s="62"/>
      <c r="I36" s="63"/>
      <c r="J36" s="62"/>
      <c r="K36" s="63"/>
    </row>
    <row r="37" spans="2:11" ht="14.4" thickBot="1" x14ac:dyDescent="0.3">
      <c r="B37" s="329"/>
      <c r="C37" s="61">
        <v>31</v>
      </c>
      <c r="D37" s="403" t="s">
        <v>183</v>
      </c>
      <c r="E37" s="404"/>
      <c r="F37" s="404"/>
      <c r="G37" s="405"/>
      <c r="H37" s="79"/>
      <c r="I37" s="80"/>
      <c r="J37" s="79"/>
      <c r="K37" s="80"/>
    </row>
    <row r="38" spans="2:11" ht="14.4" x14ac:dyDescent="0.3">
      <c r="B38" s="329"/>
      <c r="C38" s="51">
        <v>32</v>
      </c>
      <c r="D38" s="406" t="s">
        <v>184</v>
      </c>
      <c r="E38" s="407"/>
      <c r="F38" s="407"/>
      <c r="G38" s="408"/>
      <c r="H38" s="409"/>
      <c r="I38" s="410"/>
      <c r="J38" s="409"/>
      <c r="K38" s="410"/>
    </row>
    <row r="39" spans="2:11" ht="15" thickBot="1" x14ac:dyDescent="0.35">
      <c r="B39" s="342"/>
      <c r="C39" s="52">
        <v>33</v>
      </c>
      <c r="D39" s="411" t="s">
        <v>185</v>
      </c>
      <c r="E39" s="374"/>
      <c r="F39" s="374"/>
      <c r="G39" s="412"/>
      <c r="H39" s="385"/>
      <c r="I39" s="386"/>
      <c r="J39" s="385"/>
      <c r="K39" s="386"/>
    </row>
    <row r="40" spans="2:11" ht="7.95" customHeight="1" thickBot="1" x14ac:dyDescent="0.3"/>
    <row r="41" spans="2:11" ht="15" thickBot="1" x14ac:dyDescent="0.35">
      <c r="B41" s="396" t="s">
        <v>8</v>
      </c>
      <c r="C41" s="397"/>
      <c r="D41" s="397"/>
      <c r="E41" s="397"/>
      <c r="F41" s="397"/>
      <c r="G41" s="397"/>
      <c r="H41" s="397"/>
      <c r="I41" s="397"/>
      <c r="J41" s="397"/>
      <c r="K41" s="398"/>
    </row>
    <row r="42" spans="2:11" ht="14.4" customHeight="1" x14ac:dyDescent="0.25">
      <c r="B42" s="387"/>
      <c r="C42" s="388"/>
      <c r="D42" s="388"/>
      <c r="E42" s="388"/>
      <c r="F42" s="388"/>
      <c r="G42" s="388"/>
      <c r="H42" s="388"/>
      <c r="I42" s="388"/>
      <c r="J42" s="388"/>
      <c r="K42" s="389"/>
    </row>
    <row r="43" spans="2:11" ht="14.4" customHeight="1" x14ac:dyDescent="0.25">
      <c r="B43" s="390"/>
      <c r="C43" s="391"/>
      <c r="D43" s="391"/>
      <c r="E43" s="391"/>
      <c r="F43" s="391"/>
      <c r="G43" s="391"/>
      <c r="H43" s="391"/>
      <c r="I43" s="391"/>
      <c r="J43" s="391"/>
      <c r="K43" s="392"/>
    </row>
    <row r="44" spans="2:11" ht="14.4" customHeight="1" x14ac:dyDescent="0.25">
      <c r="B44" s="390"/>
      <c r="C44" s="391"/>
      <c r="D44" s="391"/>
      <c r="E44" s="391"/>
      <c r="F44" s="391"/>
      <c r="G44" s="391"/>
      <c r="H44" s="391"/>
      <c r="I44" s="391"/>
      <c r="J44" s="391"/>
      <c r="K44" s="392"/>
    </row>
    <row r="45" spans="2:11" ht="14.4" customHeight="1" x14ac:dyDescent="0.25">
      <c r="B45" s="390"/>
      <c r="C45" s="391"/>
      <c r="D45" s="391"/>
      <c r="E45" s="391"/>
      <c r="F45" s="391"/>
      <c r="G45" s="391"/>
      <c r="H45" s="391"/>
      <c r="I45" s="391"/>
      <c r="J45" s="391"/>
      <c r="K45" s="392"/>
    </row>
    <row r="46" spans="2:11" ht="14.4" customHeight="1" x14ac:dyDescent="0.25">
      <c r="B46" s="390"/>
      <c r="C46" s="391"/>
      <c r="D46" s="391"/>
      <c r="E46" s="391"/>
      <c r="F46" s="391"/>
      <c r="G46" s="391"/>
      <c r="H46" s="391"/>
      <c r="I46" s="391"/>
      <c r="J46" s="391"/>
      <c r="K46" s="392"/>
    </row>
    <row r="47" spans="2:11" ht="14.4" customHeight="1" x14ac:dyDescent="0.25">
      <c r="B47" s="390"/>
      <c r="C47" s="391"/>
      <c r="D47" s="391"/>
      <c r="E47" s="391"/>
      <c r="F47" s="391"/>
      <c r="G47" s="391"/>
      <c r="H47" s="391"/>
      <c r="I47" s="391"/>
      <c r="J47" s="391"/>
      <c r="K47" s="392"/>
    </row>
    <row r="48" spans="2:11" ht="14.4" customHeight="1" x14ac:dyDescent="0.25">
      <c r="B48" s="390"/>
      <c r="C48" s="391"/>
      <c r="D48" s="391"/>
      <c r="E48" s="391"/>
      <c r="F48" s="391"/>
      <c r="G48" s="391"/>
      <c r="H48" s="391"/>
      <c r="I48" s="391"/>
      <c r="J48" s="391"/>
      <c r="K48" s="392"/>
    </row>
    <row r="49" spans="2:11" ht="14.4" customHeight="1" x14ac:dyDescent="0.25">
      <c r="B49" s="390"/>
      <c r="C49" s="391"/>
      <c r="D49" s="391"/>
      <c r="E49" s="391"/>
      <c r="F49" s="391"/>
      <c r="G49" s="391"/>
      <c r="H49" s="391"/>
      <c r="I49" s="391"/>
      <c r="J49" s="391"/>
      <c r="K49" s="392"/>
    </row>
    <row r="50" spans="2:11" ht="14.4" customHeight="1" thickBot="1" x14ac:dyDescent="0.3">
      <c r="B50" s="393"/>
      <c r="C50" s="394"/>
      <c r="D50" s="394"/>
      <c r="E50" s="394"/>
      <c r="F50" s="394"/>
      <c r="G50" s="394"/>
      <c r="H50" s="394"/>
      <c r="I50" s="394"/>
      <c r="J50" s="394"/>
      <c r="K50" s="395"/>
    </row>
    <row r="51" spans="2:11" ht="14.4" thickBot="1" x14ac:dyDescent="0.3">
      <c r="B51" s="262" t="s">
        <v>411</v>
      </c>
      <c r="C51" s="263"/>
      <c r="D51" s="263"/>
      <c r="E51" s="263"/>
      <c r="F51" s="263"/>
      <c r="G51" s="263"/>
      <c r="H51" s="263"/>
      <c r="I51" s="263"/>
      <c r="J51" s="263"/>
      <c r="K51" s="264"/>
    </row>
    <row r="52" spans="2:11" ht="7.95" customHeight="1" thickBot="1" x14ac:dyDescent="0.3"/>
    <row r="53" spans="2:11" ht="13.8" customHeight="1" thickBot="1" x14ac:dyDescent="0.3">
      <c r="H53" s="307" t="s">
        <v>49</v>
      </c>
      <c r="I53" s="308"/>
      <c r="J53" s="307" t="s">
        <v>50</v>
      </c>
      <c r="K53" s="384"/>
    </row>
    <row r="54" spans="2:11" x14ac:dyDescent="0.25">
      <c r="B54" s="381" t="s">
        <v>152</v>
      </c>
      <c r="C54" s="41">
        <v>41</v>
      </c>
      <c r="D54" s="332" t="s">
        <v>186</v>
      </c>
      <c r="E54" s="333"/>
      <c r="F54" s="333"/>
      <c r="G54" s="333"/>
      <c r="H54" s="334"/>
      <c r="I54" s="335"/>
      <c r="J54" s="334"/>
      <c r="K54" s="335"/>
    </row>
    <row r="55" spans="2:11" x14ac:dyDescent="0.25">
      <c r="B55" s="330"/>
      <c r="C55" s="81">
        <v>42</v>
      </c>
      <c r="D55" s="382" t="s">
        <v>187</v>
      </c>
      <c r="E55" s="383"/>
      <c r="F55" s="383"/>
      <c r="G55" s="383"/>
      <c r="H55" s="346"/>
      <c r="I55" s="347"/>
      <c r="J55" s="346"/>
      <c r="K55" s="347"/>
    </row>
    <row r="56" spans="2:11" x14ac:dyDescent="0.25">
      <c r="B56" s="330"/>
      <c r="C56" s="81">
        <v>43</v>
      </c>
      <c r="D56" s="382" t="s">
        <v>188</v>
      </c>
      <c r="E56" s="383"/>
      <c r="F56" s="383"/>
      <c r="G56" s="383"/>
      <c r="H56" s="346"/>
      <c r="I56" s="347"/>
      <c r="J56" s="346"/>
      <c r="K56" s="347"/>
    </row>
    <row r="57" spans="2:11" x14ac:dyDescent="0.25">
      <c r="B57" s="330"/>
      <c r="C57" s="81">
        <v>44</v>
      </c>
      <c r="D57" s="382" t="s">
        <v>189</v>
      </c>
      <c r="E57" s="383"/>
      <c r="F57" s="383"/>
      <c r="G57" s="383"/>
      <c r="H57" s="346"/>
      <c r="I57" s="347"/>
      <c r="J57" s="346"/>
      <c r="K57" s="347"/>
    </row>
    <row r="58" spans="2:11" x14ac:dyDescent="0.25">
      <c r="B58" s="330"/>
      <c r="C58" s="81">
        <v>45</v>
      </c>
      <c r="D58" s="382" t="s">
        <v>190</v>
      </c>
      <c r="E58" s="383"/>
      <c r="F58" s="383"/>
      <c r="G58" s="383"/>
      <c r="H58" s="346"/>
      <c r="I58" s="347"/>
      <c r="J58" s="346"/>
      <c r="K58" s="347"/>
    </row>
    <row r="59" spans="2:11" ht="14.4" thickBot="1" x14ac:dyDescent="0.3">
      <c r="B59" s="330"/>
      <c r="C59" s="53">
        <v>46</v>
      </c>
      <c r="D59" s="350" t="s">
        <v>191</v>
      </c>
      <c r="E59" s="351"/>
      <c r="F59" s="351"/>
      <c r="G59" s="351"/>
      <c r="H59" s="376"/>
      <c r="I59" s="377"/>
      <c r="J59" s="376"/>
      <c r="K59" s="377"/>
    </row>
    <row r="60" spans="2:11" x14ac:dyDescent="0.25">
      <c r="B60" s="330"/>
      <c r="C60" s="45">
        <v>47</v>
      </c>
      <c r="D60" s="378" t="s">
        <v>192</v>
      </c>
      <c r="E60" s="379"/>
      <c r="F60" s="379"/>
      <c r="G60" s="380"/>
      <c r="H60" s="66"/>
      <c r="I60" s="67"/>
      <c r="J60" s="66"/>
      <c r="K60" s="67"/>
    </row>
    <row r="61" spans="2:11" x14ac:dyDescent="0.25">
      <c r="B61" s="330"/>
      <c r="C61" s="46">
        <v>48</v>
      </c>
      <c r="D61" s="366" t="s">
        <v>193</v>
      </c>
      <c r="E61" s="358"/>
      <c r="F61" s="358"/>
      <c r="G61" s="367"/>
      <c r="H61" s="68"/>
      <c r="I61" s="69"/>
      <c r="J61" s="68"/>
      <c r="K61" s="69"/>
    </row>
    <row r="62" spans="2:11" ht="14.4" thickBot="1" x14ac:dyDescent="0.3">
      <c r="B62" s="330"/>
      <c r="C62" s="50">
        <v>49</v>
      </c>
      <c r="D62" s="368" t="s">
        <v>194</v>
      </c>
      <c r="E62" s="340"/>
      <c r="F62" s="340"/>
      <c r="G62" s="369"/>
      <c r="H62" s="70"/>
      <c r="I62" s="71"/>
      <c r="J62" s="70"/>
      <c r="K62" s="71"/>
    </row>
    <row r="63" spans="2:11" x14ac:dyDescent="0.25">
      <c r="B63" s="330"/>
      <c r="C63" s="51">
        <v>50</v>
      </c>
      <c r="D63" s="370" t="s">
        <v>195</v>
      </c>
      <c r="E63" s="371"/>
      <c r="F63" s="371"/>
      <c r="G63" s="372"/>
      <c r="H63" s="66"/>
      <c r="I63" s="67"/>
      <c r="J63" s="66"/>
      <c r="K63" s="67"/>
    </row>
    <row r="64" spans="2:11" x14ac:dyDescent="0.25">
      <c r="B64" s="330"/>
      <c r="C64" s="82">
        <v>51</v>
      </c>
      <c r="D64" s="370" t="s">
        <v>196</v>
      </c>
      <c r="E64" s="371"/>
      <c r="F64" s="371"/>
      <c r="G64" s="372"/>
      <c r="H64" s="68"/>
      <c r="I64" s="69"/>
      <c r="J64" s="68"/>
      <c r="K64" s="69"/>
    </row>
    <row r="65" spans="2:11" ht="14.4" thickBot="1" x14ac:dyDescent="0.3">
      <c r="B65" s="331"/>
      <c r="C65" s="52">
        <v>52</v>
      </c>
      <c r="D65" s="373" t="s">
        <v>197</v>
      </c>
      <c r="E65" s="374"/>
      <c r="F65" s="374"/>
      <c r="G65" s="375"/>
      <c r="H65" s="70"/>
      <c r="I65" s="71"/>
      <c r="J65" s="70"/>
      <c r="K65" s="71"/>
    </row>
    <row r="66" spans="2:11" ht="7.95" customHeight="1" thickBot="1" x14ac:dyDescent="0.35">
      <c r="B66" s="40"/>
      <c r="C66" s="40"/>
      <c r="D66" s="49"/>
      <c r="E66" s="49"/>
      <c r="F66" s="49"/>
      <c r="G66" s="49"/>
      <c r="H66" s="40"/>
      <c r="I66" s="40"/>
      <c r="J66" s="40"/>
      <c r="K66" s="40"/>
    </row>
    <row r="67" spans="2:11" ht="14.4" thickBot="1" x14ac:dyDescent="0.3">
      <c r="B67" s="83" t="s">
        <v>74</v>
      </c>
      <c r="C67" s="84">
        <v>53</v>
      </c>
      <c r="D67" s="360" t="s">
        <v>186</v>
      </c>
      <c r="E67" s="361"/>
      <c r="F67" s="361"/>
      <c r="G67" s="362"/>
      <c r="H67" s="363"/>
      <c r="I67" s="364"/>
      <c r="J67" s="363"/>
      <c r="K67" s="364"/>
    </row>
    <row r="68" spans="2:11" ht="7.95" customHeight="1" thickBot="1" x14ac:dyDescent="0.35">
      <c r="B68" s="40"/>
      <c r="C68" s="40"/>
      <c r="D68" s="49"/>
      <c r="E68" s="49"/>
      <c r="F68" s="49"/>
      <c r="G68" s="49"/>
      <c r="H68" s="365"/>
      <c r="I68" s="365"/>
      <c r="J68" s="365"/>
      <c r="K68" s="365"/>
    </row>
    <row r="69" spans="2:11" x14ac:dyDescent="0.25">
      <c r="B69" s="328" t="s">
        <v>154</v>
      </c>
      <c r="C69" s="41">
        <v>54</v>
      </c>
      <c r="D69" s="332" t="s">
        <v>198</v>
      </c>
      <c r="E69" s="333"/>
      <c r="F69" s="333"/>
      <c r="G69" s="333"/>
      <c r="H69" s="334"/>
      <c r="I69" s="335"/>
      <c r="J69" s="334"/>
      <c r="K69" s="335"/>
    </row>
    <row r="70" spans="2:11" x14ac:dyDescent="0.25">
      <c r="B70" s="329"/>
      <c r="C70" s="42">
        <v>55</v>
      </c>
      <c r="D70" s="348" t="s">
        <v>199</v>
      </c>
      <c r="E70" s="349"/>
      <c r="F70" s="349"/>
      <c r="G70" s="349"/>
      <c r="H70" s="346"/>
      <c r="I70" s="347"/>
      <c r="J70" s="346"/>
      <c r="K70" s="347"/>
    </row>
    <row r="71" spans="2:11" ht="14.4" thickBot="1" x14ac:dyDescent="0.3">
      <c r="B71" s="329"/>
      <c r="C71" s="43">
        <v>56</v>
      </c>
      <c r="D71" s="350" t="s">
        <v>200</v>
      </c>
      <c r="E71" s="351"/>
      <c r="F71" s="351"/>
      <c r="G71" s="351"/>
      <c r="H71" s="352"/>
      <c r="I71" s="353"/>
      <c r="J71" s="352"/>
      <c r="K71" s="353"/>
    </row>
    <row r="72" spans="2:11" x14ac:dyDescent="0.25">
      <c r="B72" s="330"/>
      <c r="C72" s="45">
        <v>57</v>
      </c>
      <c r="D72" s="354" t="s">
        <v>201</v>
      </c>
      <c r="E72" s="355"/>
      <c r="F72" s="355"/>
      <c r="G72" s="356"/>
      <c r="H72" s="107"/>
      <c r="I72" s="108"/>
      <c r="J72" s="107"/>
      <c r="K72" s="108"/>
    </row>
    <row r="73" spans="2:11" x14ac:dyDescent="0.25">
      <c r="B73" s="330"/>
      <c r="C73" s="46">
        <v>58</v>
      </c>
      <c r="D73" s="357" t="s">
        <v>202</v>
      </c>
      <c r="E73" s="358"/>
      <c r="F73" s="358"/>
      <c r="G73" s="359"/>
      <c r="H73" s="68"/>
      <c r="I73" s="69"/>
      <c r="J73" s="68"/>
      <c r="K73" s="69"/>
    </row>
    <row r="74" spans="2:11" x14ac:dyDescent="0.25">
      <c r="B74" s="330"/>
      <c r="C74" s="46">
        <v>59</v>
      </c>
      <c r="D74" s="336" t="s">
        <v>203</v>
      </c>
      <c r="E74" s="337"/>
      <c r="F74" s="337"/>
      <c r="G74" s="338"/>
      <c r="H74" s="68"/>
      <c r="I74" s="69"/>
      <c r="J74" s="68"/>
      <c r="K74" s="69"/>
    </row>
    <row r="75" spans="2:11" ht="14.4" thickBot="1" x14ac:dyDescent="0.3">
      <c r="B75" s="331"/>
      <c r="C75" s="47">
        <v>60</v>
      </c>
      <c r="D75" s="339" t="s">
        <v>204</v>
      </c>
      <c r="E75" s="340"/>
      <c r="F75" s="340"/>
      <c r="G75" s="341"/>
      <c r="H75" s="70"/>
      <c r="I75" s="71"/>
      <c r="J75" s="70"/>
      <c r="K75" s="71"/>
    </row>
    <row r="76" spans="2:11" ht="7.95" customHeight="1" thickBot="1" x14ac:dyDescent="0.35">
      <c r="B76" s="58"/>
      <c r="C76" s="40"/>
      <c r="D76" s="49"/>
      <c r="E76" s="49"/>
      <c r="F76" s="49"/>
      <c r="G76" s="49"/>
      <c r="H76" s="40"/>
      <c r="I76" s="40"/>
      <c r="J76" s="40"/>
      <c r="K76" s="40"/>
    </row>
    <row r="77" spans="2:11" x14ac:dyDescent="0.25">
      <c r="B77" s="328" t="s">
        <v>155</v>
      </c>
      <c r="C77" s="59">
        <v>61</v>
      </c>
      <c r="D77" s="343" t="s">
        <v>205</v>
      </c>
      <c r="E77" s="344"/>
      <c r="F77" s="344"/>
      <c r="G77" s="345"/>
      <c r="H77" s="334"/>
      <c r="I77" s="335"/>
      <c r="J77" s="334"/>
      <c r="K77" s="335"/>
    </row>
    <row r="78" spans="2:11" x14ac:dyDescent="0.25">
      <c r="B78" s="329"/>
      <c r="C78" s="60">
        <v>62</v>
      </c>
      <c r="D78" s="316" t="s">
        <v>206</v>
      </c>
      <c r="E78" s="326"/>
      <c r="F78" s="326"/>
      <c r="G78" s="327"/>
      <c r="H78" s="62"/>
      <c r="I78" s="63"/>
      <c r="J78" s="62"/>
      <c r="K78" s="63"/>
    </row>
    <row r="79" spans="2:11" x14ac:dyDescent="0.25">
      <c r="B79" s="329"/>
      <c r="C79" s="60">
        <v>63</v>
      </c>
      <c r="D79" s="316" t="s">
        <v>207</v>
      </c>
      <c r="E79" s="326"/>
      <c r="F79" s="326"/>
      <c r="G79" s="327"/>
      <c r="H79" s="346"/>
      <c r="I79" s="347"/>
      <c r="J79" s="346"/>
      <c r="K79" s="347"/>
    </row>
    <row r="80" spans="2:11" ht="14.4" x14ac:dyDescent="0.3">
      <c r="B80" s="329"/>
      <c r="C80" s="60">
        <v>64</v>
      </c>
      <c r="D80" s="316" t="s">
        <v>208</v>
      </c>
      <c r="E80" s="326"/>
      <c r="F80" s="326"/>
      <c r="G80" s="327"/>
      <c r="H80" s="319"/>
      <c r="I80" s="320"/>
      <c r="J80" s="319"/>
      <c r="K80" s="320"/>
    </row>
    <row r="81" spans="2:11" ht="14.4" x14ac:dyDescent="0.3">
      <c r="B81" s="329"/>
      <c r="C81" s="60">
        <v>65</v>
      </c>
      <c r="D81" s="316" t="s">
        <v>209</v>
      </c>
      <c r="E81" s="326"/>
      <c r="F81" s="326"/>
      <c r="G81" s="327"/>
      <c r="H81" s="319"/>
      <c r="I81" s="320"/>
      <c r="J81" s="319"/>
      <c r="K81" s="320"/>
    </row>
    <row r="82" spans="2:11" ht="14.4" x14ac:dyDescent="0.3">
      <c r="B82" s="329"/>
      <c r="C82" s="60">
        <v>66</v>
      </c>
      <c r="D82" s="316" t="s">
        <v>210</v>
      </c>
      <c r="E82" s="326"/>
      <c r="F82" s="326"/>
      <c r="G82" s="327"/>
      <c r="H82" s="319"/>
      <c r="I82" s="320"/>
      <c r="J82" s="319"/>
      <c r="K82" s="320"/>
    </row>
    <row r="83" spans="2:11" ht="14.4" x14ac:dyDescent="0.3">
      <c r="B83" s="329"/>
      <c r="C83" s="60">
        <v>67</v>
      </c>
      <c r="D83" s="316" t="s">
        <v>211</v>
      </c>
      <c r="E83" s="326"/>
      <c r="F83" s="326"/>
      <c r="G83" s="327"/>
      <c r="H83" s="319"/>
      <c r="I83" s="320"/>
      <c r="J83" s="319"/>
      <c r="K83" s="320"/>
    </row>
    <row r="84" spans="2:11" ht="14.4" x14ac:dyDescent="0.3">
      <c r="B84" s="329"/>
      <c r="C84" s="60">
        <v>68</v>
      </c>
      <c r="D84" s="316" t="s">
        <v>212</v>
      </c>
      <c r="E84" s="317"/>
      <c r="F84" s="317"/>
      <c r="G84" s="318"/>
      <c r="H84" s="319"/>
      <c r="I84" s="320"/>
      <c r="J84" s="319"/>
      <c r="K84" s="320"/>
    </row>
    <row r="85" spans="2:11" ht="14.4" x14ac:dyDescent="0.3">
      <c r="B85" s="329"/>
      <c r="C85" s="60">
        <v>69</v>
      </c>
      <c r="D85" s="316" t="s">
        <v>213</v>
      </c>
      <c r="E85" s="317"/>
      <c r="F85" s="317"/>
      <c r="G85" s="318"/>
      <c r="H85" s="319"/>
      <c r="I85" s="320"/>
      <c r="J85" s="319"/>
      <c r="K85" s="320"/>
    </row>
    <row r="86" spans="2:11" ht="15" thickBot="1" x14ac:dyDescent="0.35">
      <c r="B86" s="342"/>
      <c r="C86" s="85">
        <v>70</v>
      </c>
      <c r="D86" s="321" t="s">
        <v>214</v>
      </c>
      <c r="E86" s="322"/>
      <c r="F86" s="322"/>
      <c r="G86" s="323"/>
      <c r="H86" s="324"/>
      <c r="I86" s="325"/>
      <c r="J86" s="324"/>
      <c r="K86" s="325"/>
    </row>
    <row r="87" spans="2:11" ht="14.4" thickBot="1" x14ac:dyDescent="0.3"/>
    <row r="88" spans="2:11" ht="14.4" thickBot="1" x14ac:dyDescent="0.3">
      <c r="B88" s="87" t="s">
        <v>215</v>
      </c>
      <c r="C88" s="88"/>
      <c r="D88" s="88"/>
      <c r="E88" s="89" t="s">
        <v>50</v>
      </c>
      <c r="F88" s="90" t="s">
        <v>49</v>
      </c>
      <c r="G88" s="86"/>
    </row>
    <row r="89" spans="2:11" x14ac:dyDescent="0.25">
      <c r="B89" s="312">
        <v>34</v>
      </c>
      <c r="C89" s="313"/>
      <c r="D89" s="95" t="s">
        <v>216</v>
      </c>
      <c r="E89" s="109" t="s">
        <v>217</v>
      </c>
      <c r="F89" s="110" t="s">
        <v>217</v>
      </c>
    </row>
    <row r="90" spans="2:11" ht="14.4" thickBot="1" x14ac:dyDescent="0.3">
      <c r="B90" s="299">
        <v>35</v>
      </c>
      <c r="C90" s="300"/>
      <c r="D90" s="96" t="s">
        <v>218</v>
      </c>
      <c r="E90" s="112" t="s">
        <v>217</v>
      </c>
      <c r="F90" s="111" t="s">
        <v>217</v>
      </c>
    </row>
    <row r="91" spans="2:11" ht="14.4" thickBot="1" x14ac:dyDescent="0.3"/>
    <row r="92" spans="2:11" ht="14.4" thickBot="1" x14ac:dyDescent="0.3">
      <c r="B92" s="309" t="s">
        <v>400</v>
      </c>
      <c r="C92" s="310"/>
      <c r="D92" s="310"/>
      <c r="E92" s="310"/>
      <c r="F92" s="311"/>
    </row>
    <row r="93" spans="2:11" x14ac:dyDescent="0.25">
      <c r="B93" s="312">
        <v>36</v>
      </c>
      <c r="C93" s="313"/>
      <c r="D93" s="301" t="s">
        <v>309</v>
      </c>
      <c r="E93" s="302"/>
      <c r="F93" s="113" t="s">
        <v>260</v>
      </c>
    </row>
    <row r="94" spans="2:11" x14ac:dyDescent="0.25">
      <c r="B94" s="314">
        <v>37</v>
      </c>
      <c r="C94" s="315"/>
      <c r="D94" s="94" t="s">
        <v>401</v>
      </c>
      <c r="E94" s="93"/>
      <c r="F94" s="114" t="s">
        <v>260</v>
      </c>
    </row>
    <row r="95" spans="2:11" x14ac:dyDescent="0.25">
      <c r="B95" s="314">
        <v>38</v>
      </c>
      <c r="C95" s="315"/>
      <c r="D95" s="303" t="s">
        <v>402</v>
      </c>
      <c r="E95" s="304"/>
      <c r="F95" s="114"/>
    </row>
    <row r="96" spans="2:11" ht="14.4" thickBot="1" x14ac:dyDescent="0.3">
      <c r="B96" s="299">
        <v>39</v>
      </c>
      <c r="C96" s="300"/>
      <c r="D96" s="305" t="s">
        <v>403</v>
      </c>
      <c r="E96" s="306"/>
      <c r="F96" s="115"/>
    </row>
  </sheetData>
  <sheetProtection algorithmName="SHA-512" hashValue="narJtLTxKI4C+nQWVBFJv/ZIq940eOGQHYbgK2r/Do3vlpt1KdxPERGbxdTTI8TRl2ZQgR8QICafXERwm+7RDg==" saltValue="hxbNnUx5MidejpcmVQclYw==" spinCount="100000" sheet="1" objects="1" scenarios="1" selectLockedCells="1"/>
  <mergeCells count="162">
    <mergeCell ref="D9:G9"/>
    <mergeCell ref="H3:I3"/>
    <mergeCell ref="J3:K3"/>
    <mergeCell ref="B4:B12"/>
    <mergeCell ref="D4:G4"/>
    <mergeCell ref="H4:I4"/>
    <mergeCell ref="J4:K4"/>
    <mergeCell ref="D5:G5"/>
    <mergeCell ref="H5:I5"/>
    <mergeCell ref="J5:K5"/>
    <mergeCell ref="D6:G6"/>
    <mergeCell ref="D7:G7"/>
    <mergeCell ref="D8:G8"/>
    <mergeCell ref="H8:I8"/>
    <mergeCell ref="J8:K8"/>
    <mergeCell ref="D10:G10"/>
    <mergeCell ref="D11:G11"/>
    <mergeCell ref="D12:G12"/>
    <mergeCell ref="B14:B22"/>
    <mergeCell ref="D14:G14"/>
    <mergeCell ref="D17:G17"/>
    <mergeCell ref="D21:G21"/>
    <mergeCell ref="D22:G22"/>
    <mergeCell ref="D20:G20"/>
    <mergeCell ref="D19:G19"/>
    <mergeCell ref="H17:I17"/>
    <mergeCell ref="J17:K17"/>
    <mergeCell ref="D18:G18"/>
    <mergeCell ref="H18:I18"/>
    <mergeCell ref="J18:K18"/>
    <mergeCell ref="J14:K14"/>
    <mergeCell ref="D15:G15"/>
    <mergeCell ref="H15:I15"/>
    <mergeCell ref="J15:K15"/>
    <mergeCell ref="D16:G16"/>
    <mergeCell ref="H16:I16"/>
    <mergeCell ref="J16:K16"/>
    <mergeCell ref="H14:I14"/>
    <mergeCell ref="J23:K23"/>
    <mergeCell ref="B24:B33"/>
    <mergeCell ref="D24:G24"/>
    <mergeCell ref="H24:I24"/>
    <mergeCell ref="J24:K24"/>
    <mergeCell ref="D25:G25"/>
    <mergeCell ref="H25:I25"/>
    <mergeCell ref="J25:K25"/>
    <mergeCell ref="D26:G26"/>
    <mergeCell ref="H26:I26"/>
    <mergeCell ref="J26:K26"/>
    <mergeCell ref="D27:G27"/>
    <mergeCell ref="D28:G28"/>
    <mergeCell ref="D29:G29"/>
    <mergeCell ref="H39:I39"/>
    <mergeCell ref="J39:K39"/>
    <mergeCell ref="B1:K1"/>
    <mergeCell ref="B42:K50"/>
    <mergeCell ref="B41:K41"/>
    <mergeCell ref="B35:B39"/>
    <mergeCell ref="D35:G35"/>
    <mergeCell ref="H35:I35"/>
    <mergeCell ref="J35:K35"/>
    <mergeCell ref="D36:G36"/>
    <mergeCell ref="D37:G37"/>
    <mergeCell ref="D38:G38"/>
    <mergeCell ref="H38:I38"/>
    <mergeCell ref="J38:K38"/>
    <mergeCell ref="D39:G39"/>
    <mergeCell ref="D31:G31"/>
    <mergeCell ref="H31:I31"/>
    <mergeCell ref="J31:K31"/>
    <mergeCell ref="D32:G32"/>
    <mergeCell ref="D33:G33"/>
    <mergeCell ref="H33:I33"/>
    <mergeCell ref="J33:K33"/>
    <mergeCell ref="D30:G30"/>
    <mergeCell ref="H23:I23"/>
    <mergeCell ref="J58:K58"/>
    <mergeCell ref="D59:G59"/>
    <mergeCell ref="H59:I59"/>
    <mergeCell ref="J59:K59"/>
    <mergeCell ref="D60:G60"/>
    <mergeCell ref="B51:K51"/>
    <mergeCell ref="B54:B65"/>
    <mergeCell ref="D54:G54"/>
    <mergeCell ref="H54:I54"/>
    <mergeCell ref="J54:K54"/>
    <mergeCell ref="D55:G55"/>
    <mergeCell ref="H55:I55"/>
    <mergeCell ref="J55:K55"/>
    <mergeCell ref="D56:G56"/>
    <mergeCell ref="H56:I56"/>
    <mergeCell ref="J56:K56"/>
    <mergeCell ref="D57:G57"/>
    <mergeCell ref="H57:I57"/>
    <mergeCell ref="J57:K57"/>
    <mergeCell ref="D58:G58"/>
    <mergeCell ref="H58:I58"/>
    <mergeCell ref="J53:K53"/>
    <mergeCell ref="D67:G67"/>
    <mergeCell ref="H67:I67"/>
    <mergeCell ref="J67:K67"/>
    <mergeCell ref="H68:I68"/>
    <mergeCell ref="J68:K68"/>
    <mergeCell ref="D61:G61"/>
    <mergeCell ref="D62:G62"/>
    <mergeCell ref="D63:G63"/>
    <mergeCell ref="D64:G64"/>
    <mergeCell ref="D65:G65"/>
    <mergeCell ref="J69:K69"/>
    <mergeCell ref="D70:G70"/>
    <mergeCell ref="H70:I70"/>
    <mergeCell ref="J70:K70"/>
    <mergeCell ref="D71:G71"/>
    <mergeCell ref="H71:I71"/>
    <mergeCell ref="J71:K71"/>
    <mergeCell ref="D72:G72"/>
    <mergeCell ref="D73:G73"/>
    <mergeCell ref="J84:K84"/>
    <mergeCell ref="B77:B86"/>
    <mergeCell ref="D77:G77"/>
    <mergeCell ref="H77:I77"/>
    <mergeCell ref="J77:K77"/>
    <mergeCell ref="D78:G78"/>
    <mergeCell ref="D79:G79"/>
    <mergeCell ref="H79:I79"/>
    <mergeCell ref="J79:K79"/>
    <mergeCell ref="D80:G80"/>
    <mergeCell ref="H80:I80"/>
    <mergeCell ref="J80:K80"/>
    <mergeCell ref="D81:G81"/>
    <mergeCell ref="H81:I81"/>
    <mergeCell ref="J81:K81"/>
    <mergeCell ref="D82:G82"/>
    <mergeCell ref="H82:I82"/>
    <mergeCell ref="J85:K85"/>
    <mergeCell ref="J86:K86"/>
    <mergeCell ref="J82:K82"/>
    <mergeCell ref="J83:K83"/>
    <mergeCell ref="B96:C96"/>
    <mergeCell ref="D93:E93"/>
    <mergeCell ref="D95:E95"/>
    <mergeCell ref="D96:E96"/>
    <mergeCell ref="H53:I53"/>
    <mergeCell ref="B92:F92"/>
    <mergeCell ref="B93:C93"/>
    <mergeCell ref="B94:C94"/>
    <mergeCell ref="B95:C95"/>
    <mergeCell ref="B89:C89"/>
    <mergeCell ref="B90:C90"/>
    <mergeCell ref="D85:G85"/>
    <mergeCell ref="H85:I85"/>
    <mergeCell ref="D86:G86"/>
    <mergeCell ref="H86:I86"/>
    <mergeCell ref="D83:G83"/>
    <mergeCell ref="H83:I83"/>
    <mergeCell ref="D84:G84"/>
    <mergeCell ref="H84:I84"/>
    <mergeCell ref="B69:B75"/>
    <mergeCell ref="D69:G69"/>
    <mergeCell ref="H69:I69"/>
    <mergeCell ref="D74:G74"/>
    <mergeCell ref="D75:G75"/>
  </mergeCells>
  <dataValidations count="1">
    <dataValidation type="list" allowBlank="1" showInputMessage="1" showErrorMessage="1" sqref="F93:F94">
      <formula1>Oui_non</formula1>
    </dataValidation>
  </dataValidation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listes!$D$2:$D$4</xm:f>
          </x14:formula1>
          <xm:sqref>E89:F90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L49"/>
  <sheetViews>
    <sheetView zoomScaleNormal="100" zoomScalePageLayoutView="70" workbookViewId="0">
      <selection activeCell="J15" sqref="J15"/>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2" t="s">
        <v>412</v>
      </c>
      <c r="C1" s="263"/>
      <c r="D1" s="263"/>
      <c r="E1" s="263"/>
      <c r="F1" s="263"/>
      <c r="G1" s="263"/>
      <c r="H1" s="263"/>
      <c r="I1" s="264"/>
      <c r="J1" s="17" t="s">
        <v>74</v>
      </c>
      <c r="K1" s="17" t="s">
        <v>75</v>
      </c>
      <c r="L1" s="17" t="s">
        <v>76</v>
      </c>
    </row>
    <row r="2" spans="1:12" ht="7.95" customHeight="1" x14ac:dyDescent="0.25">
      <c r="B2" s="10"/>
      <c r="C2" s="11"/>
      <c r="D2" s="11"/>
      <c r="E2" s="11"/>
      <c r="F2" s="12"/>
      <c r="G2" s="11"/>
      <c r="H2" s="11"/>
      <c r="J2" s="18"/>
      <c r="K2" s="18"/>
      <c r="L2" s="18"/>
    </row>
    <row r="3" spans="1:12" x14ac:dyDescent="0.25">
      <c r="A3" s="454" t="s">
        <v>67</v>
      </c>
      <c r="J3" s="18"/>
      <c r="K3" s="19"/>
      <c r="L3" s="18"/>
    </row>
    <row r="4" spans="1:12" x14ac:dyDescent="0.25">
      <c r="A4" s="454"/>
      <c r="J4" s="18"/>
      <c r="K4" s="19"/>
      <c r="L4" s="18"/>
    </row>
    <row r="5" spans="1:12" x14ac:dyDescent="0.25">
      <c r="A5" s="454"/>
      <c r="J5" s="18"/>
      <c r="K5" s="19"/>
      <c r="L5" s="18"/>
    </row>
    <row r="6" spans="1:12" ht="14.4" x14ac:dyDescent="0.3">
      <c r="A6" s="454"/>
      <c r="J6" s="20"/>
      <c r="K6" s="21"/>
      <c r="L6" s="20"/>
    </row>
    <row r="7" spans="1:12" x14ac:dyDescent="0.25">
      <c r="A7" s="454"/>
      <c r="J7" s="18"/>
      <c r="K7" s="19"/>
      <c r="L7" s="18"/>
    </row>
    <row r="8" spans="1:12" x14ac:dyDescent="0.25">
      <c r="A8" s="454"/>
      <c r="J8" s="18"/>
      <c r="K8" s="19"/>
      <c r="L8" s="18"/>
    </row>
    <row r="9" spans="1:12" x14ac:dyDescent="0.25">
      <c r="A9" s="454"/>
      <c r="J9" s="18"/>
      <c r="K9" s="19"/>
      <c r="L9" s="18"/>
    </row>
    <row r="10" spans="1:12" x14ac:dyDescent="0.25">
      <c r="A10" s="454"/>
      <c r="J10" s="18"/>
      <c r="K10" s="19"/>
      <c r="L10" s="18"/>
    </row>
    <row r="11" spans="1:12" x14ac:dyDescent="0.25">
      <c r="J11" s="18"/>
      <c r="K11" s="19"/>
      <c r="L11" s="18"/>
    </row>
    <row r="12" spans="1:12" ht="13.8" customHeight="1" x14ac:dyDescent="0.25">
      <c r="A12" s="454" t="s">
        <v>68</v>
      </c>
      <c r="J12" s="18"/>
      <c r="K12" s="19"/>
      <c r="L12" s="18"/>
    </row>
    <row r="13" spans="1:12" x14ac:dyDescent="0.25">
      <c r="A13" s="454"/>
      <c r="J13" s="18"/>
      <c r="K13" s="19"/>
      <c r="L13" s="18"/>
    </row>
    <row r="14" spans="1:12" x14ac:dyDescent="0.25">
      <c r="A14" s="454"/>
      <c r="J14" s="18"/>
      <c r="K14" s="19"/>
      <c r="L14" s="18"/>
    </row>
    <row r="15" spans="1:12" x14ac:dyDescent="0.25">
      <c r="A15" s="454"/>
      <c r="J15" s="18"/>
      <c r="K15" s="19"/>
      <c r="L15" s="18"/>
    </row>
    <row r="16" spans="1:12" x14ac:dyDescent="0.25">
      <c r="A16" s="454"/>
      <c r="J16" s="18"/>
      <c r="K16" s="19"/>
      <c r="L16" s="18"/>
    </row>
    <row r="17" spans="1:12" x14ac:dyDescent="0.25">
      <c r="A17" s="454"/>
      <c r="J17" s="18"/>
      <c r="K17" s="19"/>
      <c r="L17" s="18"/>
    </row>
    <row r="18" spans="1:12" x14ac:dyDescent="0.25">
      <c r="A18" s="454"/>
      <c r="J18" s="18"/>
      <c r="K18" s="19"/>
      <c r="L18" s="18"/>
    </row>
    <row r="19" spans="1:12" x14ac:dyDescent="0.25">
      <c r="A19" s="454"/>
      <c r="J19" s="18"/>
      <c r="K19" s="19"/>
      <c r="L19" s="18"/>
    </row>
    <row r="20" spans="1:12" x14ac:dyDescent="0.25">
      <c r="J20" s="18"/>
      <c r="K20" s="19"/>
      <c r="L20" s="18"/>
    </row>
    <row r="21" spans="1:12" ht="13.8" customHeight="1" x14ac:dyDescent="0.25">
      <c r="A21" s="454" t="s">
        <v>69</v>
      </c>
      <c r="J21" s="18"/>
      <c r="K21" s="19"/>
      <c r="L21" s="18"/>
    </row>
    <row r="22" spans="1:12" x14ac:dyDescent="0.25">
      <c r="A22" s="454"/>
      <c r="J22" s="18"/>
      <c r="K22" s="19"/>
      <c r="L22" s="18"/>
    </row>
    <row r="23" spans="1:12" x14ac:dyDescent="0.25">
      <c r="A23" s="454"/>
      <c r="J23" s="18"/>
      <c r="K23" s="19"/>
      <c r="L23" s="18"/>
    </row>
    <row r="24" spans="1:12" x14ac:dyDescent="0.25">
      <c r="A24" s="454"/>
      <c r="J24" s="18"/>
      <c r="K24" s="19"/>
      <c r="L24" s="18"/>
    </row>
    <row r="25" spans="1:12" x14ac:dyDescent="0.25">
      <c r="A25" s="454"/>
      <c r="J25" s="18"/>
      <c r="K25" s="19"/>
      <c r="L25" s="18"/>
    </row>
    <row r="26" spans="1:12" x14ac:dyDescent="0.25">
      <c r="A26" s="454"/>
      <c r="J26" s="18"/>
      <c r="K26" s="19"/>
      <c r="L26" s="18"/>
    </row>
    <row r="27" spans="1:12" x14ac:dyDescent="0.25">
      <c r="A27" s="454"/>
      <c r="J27" s="18"/>
      <c r="K27" s="19"/>
      <c r="L27" s="18"/>
    </row>
    <row r="28" spans="1:12" x14ac:dyDescent="0.25">
      <c r="A28" s="454"/>
      <c r="J28" s="18"/>
      <c r="K28" s="19"/>
      <c r="L28" s="18"/>
    </row>
    <row r="29" spans="1:12" x14ac:dyDescent="0.25">
      <c r="J29" s="18"/>
      <c r="K29" s="18"/>
      <c r="L29" s="18"/>
    </row>
    <row r="30" spans="1:12" ht="13.8" customHeight="1" x14ac:dyDescent="0.25">
      <c r="A30" s="454" t="s">
        <v>70</v>
      </c>
      <c r="J30" s="18"/>
      <c r="K30" s="18"/>
      <c r="L30" s="18"/>
    </row>
    <row r="31" spans="1:12" x14ac:dyDescent="0.25">
      <c r="A31" s="454"/>
      <c r="J31" s="18"/>
      <c r="K31" s="18"/>
      <c r="L31" s="18"/>
    </row>
    <row r="32" spans="1:12" x14ac:dyDescent="0.25">
      <c r="A32" s="454"/>
      <c r="J32" s="18"/>
      <c r="K32" s="18"/>
      <c r="L32" s="18"/>
    </row>
    <row r="33" spans="1:12" x14ac:dyDescent="0.25">
      <c r="A33" s="454"/>
      <c r="J33" s="18"/>
      <c r="K33" s="18"/>
      <c r="L33" s="18"/>
    </row>
    <row r="34" spans="1:12" x14ac:dyDescent="0.25">
      <c r="A34" s="454"/>
      <c r="J34" s="18"/>
      <c r="K34" s="18"/>
      <c r="L34" s="18"/>
    </row>
    <row r="35" spans="1:12" x14ac:dyDescent="0.25">
      <c r="A35" s="454"/>
      <c r="J35" s="18"/>
      <c r="K35" s="18"/>
      <c r="L35" s="18"/>
    </row>
    <row r="36" spans="1:12" x14ac:dyDescent="0.25">
      <c r="A36" s="454"/>
      <c r="J36" s="18"/>
      <c r="K36" s="18"/>
      <c r="L36" s="18"/>
    </row>
    <row r="37" spans="1:12" x14ac:dyDescent="0.25">
      <c r="A37" s="454"/>
      <c r="J37" s="18"/>
      <c r="K37" s="18"/>
      <c r="L37" s="18"/>
    </row>
    <row r="38" spans="1:12" x14ac:dyDescent="0.25">
      <c r="J38" s="18"/>
      <c r="K38" s="18"/>
      <c r="L38" s="18"/>
    </row>
    <row r="39" spans="1:12" ht="13.8" customHeight="1" x14ac:dyDescent="0.25">
      <c r="A39" s="454" t="s">
        <v>71</v>
      </c>
      <c r="J39" s="18"/>
      <c r="K39" s="18"/>
      <c r="L39" s="18"/>
    </row>
    <row r="40" spans="1:12" x14ac:dyDescent="0.25">
      <c r="A40" s="454"/>
      <c r="J40" s="18"/>
      <c r="K40" s="18"/>
      <c r="L40" s="18"/>
    </row>
    <row r="41" spans="1:12" x14ac:dyDescent="0.25">
      <c r="A41" s="454"/>
      <c r="J41" s="18"/>
      <c r="K41" s="18"/>
      <c r="L41" s="18"/>
    </row>
    <row r="42" spans="1:12" x14ac:dyDescent="0.25">
      <c r="A42" s="454"/>
      <c r="J42" s="18"/>
      <c r="K42" s="18"/>
      <c r="L42" s="18"/>
    </row>
    <row r="43" spans="1:12" x14ac:dyDescent="0.25">
      <c r="A43" s="454"/>
      <c r="J43" s="18"/>
      <c r="K43" s="18"/>
      <c r="L43" s="18"/>
    </row>
    <row r="44" spans="1:12" x14ac:dyDescent="0.25">
      <c r="A44" s="454"/>
      <c r="J44" s="18"/>
      <c r="K44" s="18"/>
      <c r="L44" s="18"/>
    </row>
    <row r="45" spans="1:12" x14ac:dyDescent="0.25">
      <c r="A45" s="454"/>
      <c r="J45" s="18"/>
      <c r="K45" s="18"/>
      <c r="L45" s="18"/>
    </row>
    <row r="46" spans="1:12" x14ac:dyDescent="0.25">
      <c r="A46" s="454"/>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5" t="s">
        <v>72</v>
      </c>
      <c r="C49" s="455"/>
      <c r="D49" s="455"/>
      <c r="E49" s="455"/>
      <c r="F49" s="455"/>
      <c r="G49" s="455"/>
      <c r="H49" s="455"/>
      <c r="I49" s="455"/>
      <c r="J49" s="18"/>
      <c r="K49" s="18"/>
      <c r="L49" s="18"/>
    </row>
  </sheetData>
  <sheetProtection algorithmName="SHA-512" hashValue="h5r5VmiuwKw8UNKfktbkPLNkXAPQJAPAVDHitAK0RZhc9ngsps0BXFBE/4j4dU5z0SrUCC89leOG63Fk2OwU4w==" saltValue="4VSkkx/TCPwZHS2GooCWPw==" spinCount="100000" sheet="1" objects="1" scenarios="1" selectLockedCells="1"/>
  <mergeCells count="7">
    <mergeCell ref="A39:A46"/>
    <mergeCell ref="B49:I49"/>
    <mergeCell ref="A3:A10"/>
    <mergeCell ref="B1:I1"/>
    <mergeCell ref="A12:A19"/>
    <mergeCell ref="A21:A28"/>
    <mergeCell ref="A30:A37"/>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L49"/>
  <sheetViews>
    <sheetView zoomScaleNormal="100" zoomScalePageLayoutView="70" workbookViewId="0">
      <selection activeCell="J1" sqref="J1"/>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2" t="s">
        <v>413</v>
      </c>
      <c r="C1" s="263"/>
      <c r="D1" s="263"/>
      <c r="E1" s="263"/>
      <c r="F1" s="263"/>
      <c r="G1" s="263"/>
      <c r="H1" s="263"/>
      <c r="I1" s="264"/>
      <c r="J1" s="17" t="s">
        <v>74</v>
      </c>
      <c r="K1" s="17" t="s">
        <v>75</v>
      </c>
      <c r="L1" s="17" t="s">
        <v>76</v>
      </c>
    </row>
    <row r="2" spans="1:12" ht="7.95" customHeight="1" x14ac:dyDescent="0.25">
      <c r="B2" s="10"/>
      <c r="C2" s="11"/>
      <c r="D2" s="11"/>
      <c r="E2" s="11"/>
      <c r="F2" s="12"/>
      <c r="G2" s="11"/>
      <c r="H2" s="11"/>
      <c r="J2" s="18"/>
      <c r="K2" s="18"/>
      <c r="L2" s="18"/>
    </row>
    <row r="3" spans="1:12" x14ac:dyDescent="0.25">
      <c r="A3" s="454" t="s">
        <v>67</v>
      </c>
      <c r="J3" s="18"/>
      <c r="K3" s="19"/>
      <c r="L3" s="18"/>
    </row>
    <row r="4" spans="1:12" x14ac:dyDescent="0.25">
      <c r="A4" s="454"/>
      <c r="J4" s="18"/>
      <c r="K4" s="19"/>
      <c r="L4" s="18"/>
    </row>
    <row r="5" spans="1:12" x14ac:dyDescent="0.25">
      <c r="A5" s="454"/>
      <c r="J5" s="18"/>
      <c r="K5" s="19"/>
      <c r="L5" s="18"/>
    </row>
    <row r="6" spans="1:12" ht="14.4" x14ac:dyDescent="0.3">
      <c r="A6" s="454"/>
      <c r="J6" s="20"/>
      <c r="K6" s="21"/>
      <c r="L6" s="20"/>
    </row>
    <row r="7" spans="1:12" x14ac:dyDescent="0.25">
      <c r="A7" s="454"/>
      <c r="J7" s="18"/>
      <c r="K7" s="19"/>
      <c r="L7" s="18"/>
    </row>
    <row r="8" spans="1:12" x14ac:dyDescent="0.25">
      <c r="A8" s="454"/>
      <c r="J8" s="18"/>
      <c r="K8" s="19"/>
      <c r="L8" s="18"/>
    </row>
    <row r="9" spans="1:12" x14ac:dyDescent="0.25">
      <c r="A9" s="454"/>
      <c r="J9" s="18"/>
      <c r="K9" s="19"/>
      <c r="L9" s="18"/>
    </row>
    <row r="10" spans="1:12" x14ac:dyDescent="0.25">
      <c r="A10" s="454"/>
      <c r="J10" s="18"/>
      <c r="K10" s="19"/>
      <c r="L10" s="18"/>
    </row>
    <row r="11" spans="1:12" x14ac:dyDescent="0.25">
      <c r="J11" s="18"/>
      <c r="K11" s="19"/>
      <c r="L11" s="18"/>
    </row>
    <row r="12" spans="1:12" ht="13.8" customHeight="1" x14ac:dyDescent="0.25">
      <c r="A12" s="454" t="s">
        <v>68</v>
      </c>
      <c r="J12" s="18"/>
      <c r="K12" s="19"/>
      <c r="L12" s="18"/>
    </row>
    <row r="13" spans="1:12" x14ac:dyDescent="0.25">
      <c r="A13" s="454"/>
      <c r="J13" s="18"/>
      <c r="K13" s="19"/>
      <c r="L13" s="18"/>
    </row>
    <row r="14" spans="1:12" x14ac:dyDescent="0.25">
      <c r="A14" s="454"/>
      <c r="J14" s="18"/>
      <c r="K14" s="19"/>
      <c r="L14" s="18"/>
    </row>
    <row r="15" spans="1:12" x14ac:dyDescent="0.25">
      <c r="A15" s="454"/>
      <c r="J15" s="18"/>
      <c r="K15" s="19"/>
      <c r="L15" s="18"/>
    </row>
    <row r="16" spans="1:12" x14ac:dyDescent="0.25">
      <c r="A16" s="454"/>
      <c r="J16" s="18"/>
      <c r="K16" s="19"/>
      <c r="L16" s="18"/>
    </row>
    <row r="17" spans="1:12" x14ac:dyDescent="0.25">
      <c r="A17" s="454"/>
      <c r="J17" s="18"/>
      <c r="K17" s="19"/>
      <c r="L17" s="18"/>
    </row>
    <row r="18" spans="1:12" x14ac:dyDescent="0.25">
      <c r="A18" s="454"/>
      <c r="J18" s="18"/>
      <c r="K18" s="19"/>
      <c r="L18" s="18"/>
    </row>
    <row r="19" spans="1:12" x14ac:dyDescent="0.25">
      <c r="A19" s="454"/>
      <c r="J19" s="18"/>
      <c r="K19" s="19"/>
      <c r="L19" s="18"/>
    </row>
    <row r="20" spans="1:12" x14ac:dyDescent="0.25">
      <c r="J20" s="18"/>
      <c r="K20" s="19"/>
      <c r="L20" s="18"/>
    </row>
    <row r="21" spans="1:12" ht="13.8" customHeight="1" x14ac:dyDescent="0.25">
      <c r="A21" s="454" t="s">
        <v>69</v>
      </c>
      <c r="J21" s="18"/>
      <c r="K21" s="19"/>
      <c r="L21" s="18"/>
    </row>
    <row r="22" spans="1:12" x14ac:dyDescent="0.25">
      <c r="A22" s="454"/>
      <c r="J22" s="18"/>
      <c r="K22" s="19"/>
      <c r="L22" s="18"/>
    </row>
    <row r="23" spans="1:12" x14ac:dyDescent="0.25">
      <c r="A23" s="454"/>
      <c r="J23" s="18"/>
      <c r="K23" s="19"/>
      <c r="L23" s="18"/>
    </row>
    <row r="24" spans="1:12" x14ac:dyDescent="0.25">
      <c r="A24" s="454"/>
      <c r="J24" s="18"/>
      <c r="K24" s="19"/>
      <c r="L24" s="18"/>
    </row>
    <row r="25" spans="1:12" x14ac:dyDescent="0.25">
      <c r="A25" s="454"/>
      <c r="J25" s="18"/>
      <c r="K25" s="19"/>
      <c r="L25" s="18"/>
    </row>
    <row r="26" spans="1:12" x14ac:dyDescent="0.25">
      <c r="A26" s="454"/>
      <c r="J26" s="18"/>
      <c r="K26" s="19"/>
      <c r="L26" s="18"/>
    </row>
    <row r="27" spans="1:12" x14ac:dyDescent="0.25">
      <c r="A27" s="454"/>
      <c r="J27" s="18"/>
      <c r="K27" s="19"/>
      <c r="L27" s="18"/>
    </row>
    <row r="28" spans="1:12" x14ac:dyDescent="0.25">
      <c r="A28" s="454"/>
      <c r="J28" s="18"/>
      <c r="K28" s="19"/>
      <c r="L28" s="18"/>
    </row>
    <row r="29" spans="1:12" x14ac:dyDescent="0.25">
      <c r="J29" s="18"/>
      <c r="K29" s="18"/>
      <c r="L29" s="18"/>
    </row>
    <row r="30" spans="1:12" ht="13.8" customHeight="1" x14ac:dyDescent="0.25">
      <c r="A30" s="454" t="s">
        <v>70</v>
      </c>
      <c r="J30" s="18"/>
      <c r="K30" s="18"/>
      <c r="L30" s="18"/>
    </row>
    <row r="31" spans="1:12" x14ac:dyDescent="0.25">
      <c r="A31" s="454"/>
      <c r="J31" s="18"/>
      <c r="K31" s="18"/>
      <c r="L31" s="18"/>
    </row>
    <row r="32" spans="1:12" x14ac:dyDescent="0.25">
      <c r="A32" s="454"/>
      <c r="J32" s="18"/>
      <c r="K32" s="18"/>
      <c r="L32" s="18"/>
    </row>
    <row r="33" spans="1:12" x14ac:dyDescent="0.25">
      <c r="A33" s="454"/>
      <c r="J33" s="18"/>
      <c r="K33" s="18"/>
      <c r="L33" s="18"/>
    </row>
    <row r="34" spans="1:12" x14ac:dyDescent="0.25">
      <c r="A34" s="454"/>
      <c r="J34" s="18"/>
      <c r="K34" s="18"/>
      <c r="L34" s="18"/>
    </row>
    <row r="35" spans="1:12" x14ac:dyDescent="0.25">
      <c r="A35" s="454"/>
      <c r="J35" s="18"/>
      <c r="K35" s="18"/>
      <c r="L35" s="18"/>
    </row>
    <row r="36" spans="1:12" x14ac:dyDescent="0.25">
      <c r="A36" s="454"/>
      <c r="J36" s="18"/>
      <c r="K36" s="18"/>
      <c r="L36" s="18"/>
    </row>
    <row r="37" spans="1:12" x14ac:dyDescent="0.25">
      <c r="A37" s="454"/>
      <c r="J37" s="18"/>
      <c r="K37" s="18"/>
      <c r="L37" s="18"/>
    </row>
    <row r="38" spans="1:12" x14ac:dyDescent="0.25">
      <c r="J38" s="18"/>
      <c r="K38" s="18"/>
      <c r="L38" s="18"/>
    </row>
    <row r="39" spans="1:12" ht="13.8" customHeight="1" x14ac:dyDescent="0.25">
      <c r="A39" s="454" t="s">
        <v>71</v>
      </c>
      <c r="J39" s="18"/>
      <c r="K39" s="18"/>
      <c r="L39" s="18"/>
    </row>
    <row r="40" spans="1:12" x14ac:dyDescent="0.25">
      <c r="A40" s="454"/>
      <c r="J40" s="18"/>
      <c r="K40" s="18"/>
      <c r="L40" s="18"/>
    </row>
    <row r="41" spans="1:12" x14ac:dyDescent="0.25">
      <c r="A41" s="454"/>
      <c r="J41" s="18"/>
      <c r="K41" s="18"/>
      <c r="L41" s="18"/>
    </row>
    <row r="42" spans="1:12" x14ac:dyDescent="0.25">
      <c r="A42" s="454"/>
      <c r="J42" s="18"/>
      <c r="K42" s="18"/>
      <c r="L42" s="18"/>
    </row>
    <row r="43" spans="1:12" x14ac:dyDescent="0.25">
      <c r="A43" s="454"/>
      <c r="J43" s="18"/>
      <c r="K43" s="18"/>
      <c r="L43" s="18"/>
    </row>
    <row r="44" spans="1:12" x14ac:dyDescent="0.25">
      <c r="A44" s="454"/>
      <c r="J44" s="18"/>
      <c r="K44" s="18"/>
      <c r="L44" s="18"/>
    </row>
    <row r="45" spans="1:12" x14ac:dyDescent="0.25">
      <c r="A45" s="454"/>
      <c r="J45" s="18"/>
      <c r="K45" s="18"/>
      <c r="L45" s="18"/>
    </row>
    <row r="46" spans="1:12" x14ac:dyDescent="0.25">
      <c r="A46" s="454"/>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5" t="s">
        <v>72</v>
      </c>
      <c r="C49" s="455"/>
      <c r="D49" s="455"/>
      <c r="E49" s="455"/>
      <c r="F49" s="455"/>
      <c r="G49" s="455"/>
      <c r="H49" s="455"/>
      <c r="I49" s="455"/>
      <c r="J49" s="18"/>
      <c r="K49" s="18"/>
      <c r="L49" s="18"/>
    </row>
  </sheetData>
  <sheetProtection algorithmName="SHA-512" hashValue="kjQtToarT60yhISwG1ZsSUIQzQTcBJOk+weTkQrTGka+RC0R5ML2u4lp17Q26JmhqiGGtRKCeIeeiyfnj7LDyg==" saltValue="u4rFfMbt0Oo7EMymLM2Gfg=="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L49"/>
  <sheetViews>
    <sheetView zoomScaleNormal="100" zoomScalePageLayoutView="70" workbookViewId="0">
      <selection activeCell="L8" sqref="L8"/>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2" t="s">
        <v>414</v>
      </c>
      <c r="C1" s="263"/>
      <c r="D1" s="263"/>
      <c r="E1" s="263"/>
      <c r="F1" s="263"/>
      <c r="G1" s="263"/>
      <c r="H1" s="263"/>
      <c r="I1" s="264"/>
      <c r="J1" s="17" t="s">
        <v>74</v>
      </c>
      <c r="K1" s="17" t="s">
        <v>75</v>
      </c>
      <c r="L1" s="17" t="s">
        <v>76</v>
      </c>
    </row>
    <row r="2" spans="1:12" ht="7.95" customHeight="1" x14ac:dyDescent="0.25">
      <c r="B2" s="10"/>
      <c r="C2" s="11"/>
      <c r="D2" s="11"/>
      <c r="E2" s="11"/>
      <c r="F2" s="12"/>
      <c r="G2" s="11"/>
      <c r="H2" s="11"/>
      <c r="J2" s="18"/>
      <c r="K2" s="18"/>
      <c r="L2" s="18"/>
    </row>
    <row r="3" spans="1:12" x14ac:dyDescent="0.25">
      <c r="A3" s="454" t="s">
        <v>67</v>
      </c>
      <c r="J3" s="18"/>
      <c r="K3" s="19"/>
      <c r="L3" s="18"/>
    </row>
    <row r="4" spans="1:12" x14ac:dyDescent="0.25">
      <c r="A4" s="454"/>
      <c r="J4" s="18"/>
      <c r="K4" s="19"/>
      <c r="L4" s="18"/>
    </row>
    <row r="5" spans="1:12" x14ac:dyDescent="0.25">
      <c r="A5" s="454"/>
      <c r="J5" s="18"/>
      <c r="K5" s="19"/>
      <c r="L5" s="18"/>
    </row>
    <row r="6" spans="1:12" ht="14.4" x14ac:dyDescent="0.3">
      <c r="A6" s="454"/>
      <c r="J6" s="20"/>
      <c r="K6" s="21"/>
      <c r="L6" s="20"/>
    </row>
    <row r="7" spans="1:12" x14ac:dyDescent="0.25">
      <c r="A7" s="454"/>
      <c r="J7" s="18"/>
      <c r="K7" s="19"/>
      <c r="L7" s="18"/>
    </row>
    <row r="8" spans="1:12" x14ac:dyDescent="0.25">
      <c r="A8" s="454"/>
      <c r="J8" s="18"/>
      <c r="K8" s="19"/>
      <c r="L8" s="18"/>
    </row>
    <row r="9" spans="1:12" x14ac:dyDescent="0.25">
      <c r="A9" s="454"/>
      <c r="J9" s="18"/>
      <c r="K9" s="19"/>
      <c r="L9" s="18"/>
    </row>
    <row r="10" spans="1:12" x14ac:dyDescent="0.25">
      <c r="A10" s="454"/>
      <c r="J10" s="18"/>
      <c r="K10" s="19"/>
      <c r="L10" s="18"/>
    </row>
    <row r="11" spans="1:12" x14ac:dyDescent="0.25">
      <c r="J11" s="18"/>
      <c r="K11" s="19"/>
      <c r="L11" s="18"/>
    </row>
    <row r="12" spans="1:12" ht="13.8" customHeight="1" x14ac:dyDescent="0.25">
      <c r="A12" s="454" t="s">
        <v>68</v>
      </c>
      <c r="J12" s="18"/>
      <c r="K12" s="19"/>
      <c r="L12" s="18"/>
    </row>
    <row r="13" spans="1:12" x14ac:dyDescent="0.25">
      <c r="A13" s="454"/>
      <c r="J13" s="18"/>
      <c r="K13" s="19"/>
      <c r="L13" s="18"/>
    </row>
    <row r="14" spans="1:12" x14ac:dyDescent="0.25">
      <c r="A14" s="454"/>
      <c r="J14" s="18"/>
      <c r="K14" s="19"/>
      <c r="L14" s="18"/>
    </row>
    <row r="15" spans="1:12" x14ac:dyDescent="0.25">
      <c r="A15" s="454"/>
      <c r="J15" s="18"/>
      <c r="K15" s="19"/>
      <c r="L15" s="18"/>
    </row>
    <row r="16" spans="1:12" x14ac:dyDescent="0.25">
      <c r="A16" s="454"/>
      <c r="J16" s="18"/>
      <c r="K16" s="19"/>
      <c r="L16" s="18"/>
    </row>
    <row r="17" spans="1:12" x14ac:dyDescent="0.25">
      <c r="A17" s="454"/>
      <c r="J17" s="18"/>
      <c r="K17" s="19"/>
      <c r="L17" s="18"/>
    </row>
    <row r="18" spans="1:12" x14ac:dyDescent="0.25">
      <c r="A18" s="454"/>
      <c r="J18" s="18"/>
      <c r="K18" s="19"/>
      <c r="L18" s="18"/>
    </row>
    <row r="19" spans="1:12" x14ac:dyDescent="0.25">
      <c r="A19" s="454"/>
      <c r="J19" s="18"/>
      <c r="K19" s="19"/>
      <c r="L19" s="18"/>
    </row>
    <row r="20" spans="1:12" x14ac:dyDescent="0.25">
      <c r="J20" s="18"/>
      <c r="K20" s="19"/>
      <c r="L20" s="18"/>
    </row>
    <row r="21" spans="1:12" ht="13.8" customHeight="1" x14ac:dyDescent="0.25">
      <c r="A21" s="454" t="s">
        <v>69</v>
      </c>
      <c r="J21" s="18"/>
      <c r="K21" s="19"/>
      <c r="L21" s="18"/>
    </row>
    <row r="22" spans="1:12" x14ac:dyDescent="0.25">
      <c r="A22" s="454"/>
      <c r="J22" s="18"/>
      <c r="K22" s="19"/>
      <c r="L22" s="18"/>
    </row>
    <row r="23" spans="1:12" x14ac:dyDescent="0.25">
      <c r="A23" s="454"/>
      <c r="J23" s="18"/>
      <c r="K23" s="19"/>
      <c r="L23" s="18"/>
    </row>
    <row r="24" spans="1:12" x14ac:dyDescent="0.25">
      <c r="A24" s="454"/>
      <c r="J24" s="18"/>
      <c r="K24" s="19"/>
      <c r="L24" s="18"/>
    </row>
    <row r="25" spans="1:12" x14ac:dyDescent="0.25">
      <c r="A25" s="454"/>
      <c r="J25" s="18"/>
      <c r="K25" s="19"/>
      <c r="L25" s="18"/>
    </row>
    <row r="26" spans="1:12" x14ac:dyDescent="0.25">
      <c r="A26" s="454"/>
      <c r="J26" s="18"/>
      <c r="K26" s="19"/>
      <c r="L26" s="18"/>
    </row>
    <row r="27" spans="1:12" x14ac:dyDescent="0.25">
      <c r="A27" s="454"/>
      <c r="J27" s="18"/>
      <c r="K27" s="19"/>
      <c r="L27" s="18"/>
    </row>
    <row r="28" spans="1:12" x14ac:dyDescent="0.25">
      <c r="A28" s="454"/>
      <c r="J28" s="18"/>
      <c r="K28" s="19"/>
      <c r="L28" s="18"/>
    </row>
    <row r="29" spans="1:12" x14ac:dyDescent="0.25">
      <c r="J29" s="18"/>
      <c r="K29" s="18"/>
      <c r="L29" s="18"/>
    </row>
    <row r="30" spans="1:12" ht="13.8" customHeight="1" x14ac:dyDescent="0.25">
      <c r="A30" s="454" t="s">
        <v>70</v>
      </c>
      <c r="J30" s="18"/>
      <c r="K30" s="18"/>
      <c r="L30" s="18"/>
    </row>
    <row r="31" spans="1:12" x14ac:dyDescent="0.25">
      <c r="A31" s="454"/>
      <c r="J31" s="18"/>
      <c r="K31" s="18"/>
      <c r="L31" s="18"/>
    </row>
    <row r="32" spans="1:12" x14ac:dyDescent="0.25">
      <c r="A32" s="454"/>
      <c r="J32" s="18"/>
      <c r="K32" s="18"/>
      <c r="L32" s="18"/>
    </row>
    <row r="33" spans="1:12" x14ac:dyDescent="0.25">
      <c r="A33" s="454"/>
      <c r="J33" s="18"/>
      <c r="K33" s="18"/>
      <c r="L33" s="18"/>
    </row>
    <row r="34" spans="1:12" x14ac:dyDescent="0.25">
      <c r="A34" s="454"/>
      <c r="J34" s="18"/>
      <c r="K34" s="18"/>
      <c r="L34" s="18"/>
    </row>
    <row r="35" spans="1:12" x14ac:dyDescent="0.25">
      <c r="A35" s="454"/>
      <c r="J35" s="18"/>
      <c r="K35" s="18"/>
      <c r="L35" s="18"/>
    </row>
    <row r="36" spans="1:12" x14ac:dyDescent="0.25">
      <c r="A36" s="454"/>
      <c r="J36" s="18"/>
      <c r="K36" s="18"/>
      <c r="L36" s="18"/>
    </row>
    <row r="37" spans="1:12" x14ac:dyDescent="0.25">
      <c r="A37" s="454"/>
      <c r="J37" s="18"/>
      <c r="K37" s="18"/>
      <c r="L37" s="18"/>
    </row>
    <row r="38" spans="1:12" x14ac:dyDescent="0.25">
      <c r="J38" s="18"/>
      <c r="K38" s="18"/>
      <c r="L38" s="18"/>
    </row>
    <row r="39" spans="1:12" ht="13.8" customHeight="1" x14ac:dyDescent="0.25">
      <c r="A39" s="454" t="s">
        <v>71</v>
      </c>
      <c r="J39" s="18"/>
      <c r="K39" s="18"/>
      <c r="L39" s="18"/>
    </row>
    <row r="40" spans="1:12" x14ac:dyDescent="0.25">
      <c r="A40" s="454"/>
      <c r="J40" s="18"/>
      <c r="K40" s="18"/>
      <c r="L40" s="18"/>
    </row>
    <row r="41" spans="1:12" x14ac:dyDescent="0.25">
      <c r="A41" s="454"/>
      <c r="J41" s="18"/>
      <c r="K41" s="18"/>
      <c r="L41" s="18"/>
    </row>
    <row r="42" spans="1:12" x14ac:dyDescent="0.25">
      <c r="A42" s="454"/>
      <c r="J42" s="18"/>
      <c r="K42" s="18"/>
      <c r="L42" s="18"/>
    </row>
    <row r="43" spans="1:12" x14ac:dyDescent="0.25">
      <c r="A43" s="454"/>
      <c r="J43" s="18"/>
      <c r="K43" s="18"/>
      <c r="L43" s="18"/>
    </row>
    <row r="44" spans="1:12" x14ac:dyDescent="0.25">
      <c r="A44" s="454"/>
      <c r="J44" s="18"/>
      <c r="K44" s="18"/>
      <c r="L44" s="18"/>
    </row>
    <row r="45" spans="1:12" x14ac:dyDescent="0.25">
      <c r="A45" s="454"/>
      <c r="J45" s="18"/>
      <c r="K45" s="18"/>
      <c r="L45" s="18"/>
    </row>
    <row r="46" spans="1:12" x14ac:dyDescent="0.25">
      <c r="A46" s="454"/>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5" t="s">
        <v>72</v>
      </c>
      <c r="C49" s="455"/>
      <c r="D49" s="455"/>
      <c r="E49" s="455"/>
      <c r="F49" s="455"/>
      <c r="G49" s="455"/>
      <c r="H49" s="455"/>
      <c r="I49" s="455"/>
      <c r="J49" s="18"/>
      <c r="K49" s="18"/>
      <c r="L49" s="18"/>
    </row>
  </sheetData>
  <sheetProtection algorithmName="SHA-512" hashValue="wM08GOgL4u4EfYmDa1toLBvbFnMZf10j4j7JJVIlAOI8EJFo3xIxpSce5GXaZF08WiJNSGjer4bReLj2NVCnJw==" saltValue="C+RItq/En4VvinNy9uHvUw=="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AC104"/>
  <sheetViews>
    <sheetView zoomScale="70" zoomScaleNormal="70" workbookViewId="0">
      <selection activeCell="E26" sqref="E26"/>
    </sheetView>
  </sheetViews>
  <sheetFormatPr baseColWidth="10" defaultRowHeight="14.4" x14ac:dyDescent="0.3"/>
  <cols>
    <col min="2" max="2" width="15.33203125" customWidth="1"/>
  </cols>
  <sheetData>
    <row r="1" spans="1:29"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3">
      <c r="B2" t="s">
        <v>64</v>
      </c>
      <c r="D2" t="s">
        <v>92</v>
      </c>
      <c r="F2" t="s">
        <v>91</v>
      </c>
      <c r="H2" t="s">
        <v>94</v>
      </c>
      <c r="J2" t="s">
        <v>95</v>
      </c>
      <c r="L2" t="s">
        <v>96</v>
      </c>
      <c r="N2" t="s">
        <v>94</v>
      </c>
      <c r="P2" t="s">
        <v>95</v>
      </c>
      <c r="R2" t="s">
        <v>96</v>
      </c>
      <c r="T2" t="s">
        <v>94</v>
      </c>
      <c r="V2" t="s">
        <v>98</v>
      </c>
      <c r="X2" t="s">
        <v>64</v>
      </c>
      <c r="Z2" t="s">
        <v>92</v>
      </c>
      <c r="AB2" t="s">
        <v>91</v>
      </c>
    </row>
    <row r="3" spans="1:29"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x14ac:dyDescent="0.3">
      <c r="A4">
        <v>0</v>
      </c>
    </row>
    <row r="5" spans="1:29" x14ac:dyDescent="0.3">
      <c r="A5">
        <v>1</v>
      </c>
    </row>
    <row r="6" spans="1:29" x14ac:dyDescent="0.3">
      <c r="A6">
        <v>2</v>
      </c>
    </row>
    <row r="7" spans="1:29" x14ac:dyDescent="0.3">
      <c r="A7">
        <v>3</v>
      </c>
    </row>
    <row r="8" spans="1:29" x14ac:dyDescent="0.3">
      <c r="A8">
        <v>4</v>
      </c>
    </row>
    <row r="9" spans="1:29" x14ac:dyDescent="0.3">
      <c r="A9">
        <v>5</v>
      </c>
    </row>
    <row r="10" spans="1:29" x14ac:dyDescent="0.3">
      <c r="A10">
        <v>6</v>
      </c>
    </row>
    <row r="11" spans="1:29" x14ac:dyDescent="0.3">
      <c r="A11">
        <v>7</v>
      </c>
    </row>
    <row r="12" spans="1:29" x14ac:dyDescent="0.3">
      <c r="A12">
        <v>8</v>
      </c>
    </row>
    <row r="13" spans="1:29" x14ac:dyDescent="0.3">
      <c r="A13">
        <v>9</v>
      </c>
    </row>
    <row r="14" spans="1:29" x14ac:dyDescent="0.3">
      <c r="A14">
        <v>10</v>
      </c>
    </row>
    <row r="15" spans="1:29" x14ac:dyDescent="0.3">
      <c r="A15">
        <v>11</v>
      </c>
    </row>
    <row r="16" spans="1:29" x14ac:dyDescent="0.3">
      <c r="A16">
        <v>12</v>
      </c>
    </row>
    <row r="17" spans="1:1" x14ac:dyDescent="0.3">
      <c r="A17">
        <v>13</v>
      </c>
    </row>
    <row r="18" spans="1:1" x14ac:dyDescent="0.3">
      <c r="A18">
        <v>14</v>
      </c>
    </row>
    <row r="19" spans="1:1" x14ac:dyDescent="0.3">
      <c r="A19">
        <v>15</v>
      </c>
    </row>
    <row r="20" spans="1:1" x14ac:dyDescent="0.3">
      <c r="A20">
        <v>16</v>
      </c>
    </row>
    <row r="21" spans="1:1" x14ac:dyDescent="0.3">
      <c r="A21">
        <v>17</v>
      </c>
    </row>
    <row r="22" spans="1:1" x14ac:dyDescent="0.3">
      <c r="A22">
        <v>18</v>
      </c>
    </row>
    <row r="23" spans="1:1" x14ac:dyDescent="0.3">
      <c r="A23">
        <v>19</v>
      </c>
    </row>
    <row r="24" spans="1:1" x14ac:dyDescent="0.3">
      <c r="A24">
        <v>20</v>
      </c>
    </row>
    <row r="25" spans="1:1" x14ac:dyDescent="0.3">
      <c r="A25">
        <v>21</v>
      </c>
    </row>
    <row r="26" spans="1:1" x14ac:dyDescent="0.3">
      <c r="A26">
        <v>22</v>
      </c>
    </row>
    <row r="27" spans="1:1" x14ac:dyDescent="0.3">
      <c r="A27">
        <v>23</v>
      </c>
    </row>
    <row r="28" spans="1:1" x14ac:dyDescent="0.3">
      <c r="A28">
        <v>24</v>
      </c>
    </row>
    <row r="29" spans="1:1" x14ac:dyDescent="0.3">
      <c r="A29">
        <v>25</v>
      </c>
    </row>
    <row r="30" spans="1:1" x14ac:dyDescent="0.3">
      <c r="A30">
        <v>26</v>
      </c>
    </row>
    <row r="31" spans="1:1" x14ac:dyDescent="0.3">
      <c r="A31">
        <v>27</v>
      </c>
    </row>
    <row r="32" spans="1:1" x14ac:dyDescent="0.3">
      <c r="A32">
        <v>28</v>
      </c>
    </row>
    <row r="33" spans="1:1" x14ac:dyDescent="0.3">
      <c r="A33">
        <v>29</v>
      </c>
    </row>
    <row r="34" spans="1:1" x14ac:dyDescent="0.3">
      <c r="A34">
        <v>30</v>
      </c>
    </row>
    <row r="35" spans="1:1" x14ac:dyDescent="0.3">
      <c r="A35">
        <v>31</v>
      </c>
    </row>
    <row r="36" spans="1:1" x14ac:dyDescent="0.3">
      <c r="A36">
        <v>32</v>
      </c>
    </row>
    <row r="37" spans="1:1" x14ac:dyDescent="0.3">
      <c r="A37">
        <v>33</v>
      </c>
    </row>
    <row r="38" spans="1:1" x14ac:dyDescent="0.3">
      <c r="A38">
        <v>34</v>
      </c>
    </row>
    <row r="39" spans="1:1" x14ac:dyDescent="0.3">
      <c r="A39">
        <v>35</v>
      </c>
    </row>
    <row r="40" spans="1:1" x14ac:dyDescent="0.3">
      <c r="A40">
        <v>36</v>
      </c>
    </row>
    <row r="41" spans="1:1" x14ac:dyDescent="0.3">
      <c r="A41">
        <v>37</v>
      </c>
    </row>
    <row r="42" spans="1:1" x14ac:dyDescent="0.3">
      <c r="A42">
        <v>38</v>
      </c>
    </row>
    <row r="43" spans="1:1" x14ac:dyDescent="0.3">
      <c r="A43">
        <v>39</v>
      </c>
    </row>
    <row r="44" spans="1:1" x14ac:dyDescent="0.3">
      <c r="A44">
        <v>40</v>
      </c>
    </row>
    <row r="45" spans="1:1" x14ac:dyDescent="0.3">
      <c r="A45">
        <v>41</v>
      </c>
    </row>
    <row r="46" spans="1:1" x14ac:dyDescent="0.3">
      <c r="A46">
        <v>42</v>
      </c>
    </row>
    <row r="47" spans="1:1" x14ac:dyDescent="0.3">
      <c r="A47">
        <v>43</v>
      </c>
    </row>
    <row r="48" spans="1:1" x14ac:dyDescent="0.3">
      <c r="A48">
        <v>44</v>
      </c>
    </row>
    <row r="49" spans="1:1" x14ac:dyDescent="0.3">
      <c r="A49">
        <v>45</v>
      </c>
    </row>
    <row r="50" spans="1:1" x14ac:dyDescent="0.3">
      <c r="A50">
        <v>46</v>
      </c>
    </row>
    <row r="51" spans="1:1" x14ac:dyDescent="0.3">
      <c r="A51">
        <v>47</v>
      </c>
    </row>
    <row r="52" spans="1:1" x14ac:dyDescent="0.3">
      <c r="A52">
        <v>48</v>
      </c>
    </row>
    <row r="53" spans="1:1" x14ac:dyDescent="0.3">
      <c r="A53">
        <v>49</v>
      </c>
    </row>
    <row r="54" spans="1:1" x14ac:dyDescent="0.3">
      <c r="A54">
        <v>50</v>
      </c>
    </row>
    <row r="55" spans="1:1" x14ac:dyDescent="0.3">
      <c r="A55">
        <v>51</v>
      </c>
    </row>
    <row r="56" spans="1:1" x14ac:dyDescent="0.3">
      <c r="A56">
        <v>52</v>
      </c>
    </row>
    <row r="57" spans="1:1" x14ac:dyDescent="0.3">
      <c r="A57">
        <v>53</v>
      </c>
    </row>
    <row r="58" spans="1:1" x14ac:dyDescent="0.3">
      <c r="A58">
        <v>54</v>
      </c>
    </row>
    <row r="59" spans="1:1" x14ac:dyDescent="0.3">
      <c r="A59">
        <v>55</v>
      </c>
    </row>
    <row r="60" spans="1:1" x14ac:dyDescent="0.3">
      <c r="A60">
        <v>56</v>
      </c>
    </row>
    <row r="61" spans="1:1" x14ac:dyDescent="0.3">
      <c r="A61">
        <v>57</v>
      </c>
    </row>
    <row r="62" spans="1:1" x14ac:dyDescent="0.3">
      <c r="A62">
        <v>58</v>
      </c>
    </row>
    <row r="63" spans="1:1" x14ac:dyDescent="0.3">
      <c r="A63">
        <v>59</v>
      </c>
    </row>
    <row r="64" spans="1:1" x14ac:dyDescent="0.3">
      <c r="A64">
        <v>60</v>
      </c>
    </row>
    <row r="65" spans="1:1" x14ac:dyDescent="0.3">
      <c r="A65">
        <v>61</v>
      </c>
    </row>
    <row r="66" spans="1:1" x14ac:dyDescent="0.3">
      <c r="A66">
        <v>62</v>
      </c>
    </row>
    <row r="67" spans="1:1" x14ac:dyDescent="0.3">
      <c r="A67">
        <v>63</v>
      </c>
    </row>
    <row r="68" spans="1:1" x14ac:dyDescent="0.3">
      <c r="A68">
        <v>64</v>
      </c>
    </row>
    <row r="69" spans="1:1" x14ac:dyDescent="0.3">
      <c r="A69">
        <v>65</v>
      </c>
    </row>
    <row r="70" spans="1:1" x14ac:dyDescent="0.3">
      <c r="A70">
        <v>66</v>
      </c>
    </row>
    <row r="71" spans="1:1" x14ac:dyDescent="0.3">
      <c r="A71">
        <v>67</v>
      </c>
    </row>
    <row r="72" spans="1:1" x14ac:dyDescent="0.3">
      <c r="A72">
        <v>68</v>
      </c>
    </row>
    <row r="73" spans="1:1" x14ac:dyDescent="0.3">
      <c r="A73">
        <v>69</v>
      </c>
    </row>
    <row r="74" spans="1:1" x14ac:dyDescent="0.3">
      <c r="A74">
        <v>70</v>
      </c>
    </row>
    <row r="75" spans="1:1" x14ac:dyDescent="0.3">
      <c r="A75">
        <v>71</v>
      </c>
    </row>
    <row r="76" spans="1:1" x14ac:dyDescent="0.3">
      <c r="A76">
        <v>72</v>
      </c>
    </row>
    <row r="77" spans="1:1" x14ac:dyDescent="0.3">
      <c r="A77">
        <v>73</v>
      </c>
    </row>
    <row r="78" spans="1:1" x14ac:dyDescent="0.3">
      <c r="A78">
        <v>74</v>
      </c>
    </row>
    <row r="79" spans="1:1" x14ac:dyDescent="0.3">
      <c r="A79">
        <v>75</v>
      </c>
    </row>
    <row r="80" spans="1:1" x14ac:dyDescent="0.3">
      <c r="A80">
        <v>76</v>
      </c>
    </row>
    <row r="81" spans="1:1" x14ac:dyDescent="0.3">
      <c r="A81">
        <v>77</v>
      </c>
    </row>
    <row r="82" spans="1:1" x14ac:dyDescent="0.3">
      <c r="A82">
        <v>78</v>
      </c>
    </row>
    <row r="83" spans="1:1" x14ac:dyDescent="0.3">
      <c r="A83">
        <v>79</v>
      </c>
    </row>
    <row r="84" spans="1:1" x14ac:dyDescent="0.3">
      <c r="A84">
        <v>80</v>
      </c>
    </row>
    <row r="85" spans="1:1" x14ac:dyDescent="0.3">
      <c r="A85">
        <v>81</v>
      </c>
    </row>
    <row r="86" spans="1:1" x14ac:dyDescent="0.3">
      <c r="A86">
        <v>82</v>
      </c>
    </row>
    <row r="87" spans="1:1" x14ac:dyDescent="0.3">
      <c r="A87">
        <v>83</v>
      </c>
    </row>
    <row r="88" spans="1:1" x14ac:dyDescent="0.3">
      <c r="A88">
        <v>84</v>
      </c>
    </row>
    <row r="89" spans="1:1" x14ac:dyDescent="0.3">
      <c r="A89">
        <v>85</v>
      </c>
    </row>
    <row r="90" spans="1:1" x14ac:dyDescent="0.3">
      <c r="A90">
        <v>86</v>
      </c>
    </row>
    <row r="91" spans="1:1" x14ac:dyDescent="0.3">
      <c r="A91">
        <v>87</v>
      </c>
    </row>
    <row r="92" spans="1:1" x14ac:dyDescent="0.3">
      <c r="A92">
        <v>88</v>
      </c>
    </row>
    <row r="93" spans="1:1" x14ac:dyDescent="0.3">
      <c r="A93">
        <v>89</v>
      </c>
    </row>
    <row r="94" spans="1:1" x14ac:dyDescent="0.3">
      <c r="A94">
        <v>90</v>
      </c>
    </row>
    <row r="95" spans="1:1" x14ac:dyDescent="0.3">
      <c r="A95">
        <v>91</v>
      </c>
    </row>
    <row r="96" spans="1:1" x14ac:dyDescent="0.3">
      <c r="A96">
        <v>92</v>
      </c>
    </row>
    <row r="97" spans="1:1" x14ac:dyDescent="0.3">
      <c r="A97">
        <v>93</v>
      </c>
    </row>
    <row r="98" spans="1:1" x14ac:dyDescent="0.3">
      <c r="A98">
        <v>94</v>
      </c>
    </row>
    <row r="99" spans="1:1" x14ac:dyDescent="0.3">
      <c r="A99">
        <v>95</v>
      </c>
    </row>
    <row r="100" spans="1:1" x14ac:dyDescent="0.3">
      <c r="A100">
        <v>96</v>
      </c>
    </row>
    <row r="101" spans="1:1" x14ac:dyDescent="0.3">
      <c r="A101">
        <v>97</v>
      </c>
    </row>
    <row r="102" spans="1:1" x14ac:dyDescent="0.3">
      <c r="A102">
        <v>98</v>
      </c>
    </row>
    <row r="103" spans="1:1" x14ac:dyDescent="0.3">
      <c r="A103">
        <v>99</v>
      </c>
    </row>
    <row r="104" spans="1:1" x14ac:dyDescent="0.3">
      <c r="A104">
        <v>100</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AC209"/>
  <sheetViews>
    <sheetView zoomScale="70" zoomScaleNormal="70" workbookViewId="0">
      <selection activeCell="Q43" sqref="Q43"/>
    </sheetView>
  </sheetViews>
  <sheetFormatPr baseColWidth="10" defaultRowHeight="14.4" x14ac:dyDescent="0.3"/>
  <cols>
    <col min="2" max="2" width="15.33203125" customWidth="1"/>
  </cols>
  <sheetData>
    <row r="1" spans="1:29"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3">
      <c r="B2" t="s">
        <v>64</v>
      </c>
      <c r="D2" t="s">
        <v>92</v>
      </c>
      <c r="F2" t="s">
        <v>91</v>
      </c>
      <c r="H2" t="s">
        <v>94</v>
      </c>
      <c r="J2" t="s">
        <v>95</v>
      </c>
      <c r="L2" t="s">
        <v>96</v>
      </c>
      <c r="N2" t="s">
        <v>94</v>
      </c>
      <c r="P2" t="s">
        <v>95</v>
      </c>
      <c r="R2" t="s">
        <v>96</v>
      </c>
      <c r="T2" t="s">
        <v>94</v>
      </c>
      <c r="V2" t="s">
        <v>98</v>
      </c>
      <c r="X2" t="s">
        <v>64</v>
      </c>
      <c r="Z2" t="s">
        <v>92</v>
      </c>
      <c r="AB2" t="s">
        <v>91</v>
      </c>
    </row>
    <row r="3" spans="1:29"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x14ac:dyDescent="0.3">
      <c r="A4">
        <v>0</v>
      </c>
    </row>
    <row r="5" spans="1:29" x14ac:dyDescent="0.3">
      <c r="A5">
        <v>1</v>
      </c>
    </row>
    <row r="6" spans="1:29" x14ac:dyDescent="0.3">
      <c r="A6">
        <v>2</v>
      </c>
    </row>
    <row r="7" spans="1:29" x14ac:dyDescent="0.3">
      <c r="A7">
        <v>3</v>
      </c>
    </row>
    <row r="8" spans="1:29" x14ac:dyDescent="0.3">
      <c r="A8">
        <v>4</v>
      </c>
    </row>
    <row r="9" spans="1:29" x14ac:dyDescent="0.3">
      <c r="A9">
        <v>5</v>
      </c>
    </row>
    <row r="10" spans="1:29" x14ac:dyDescent="0.3">
      <c r="A10">
        <v>6</v>
      </c>
    </row>
    <row r="11" spans="1:29" x14ac:dyDescent="0.3">
      <c r="A11">
        <v>7</v>
      </c>
    </row>
    <row r="12" spans="1:29" x14ac:dyDescent="0.3">
      <c r="A12">
        <v>8</v>
      </c>
    </row>
    <row r="13" spans="1:29" x14ac:dyDescent="0.3">
      <c r="A13">
        <v>9</v>
      </c>
    </row>
    <row r="14" spans="1:29" x14ac:dyDescent="0.3">
      <c r="A14">
        <v>10</v>
      </c>
    </row>
    <row r="15" spans="1:29" x14ac:dyDescent="0.3">
      <c r="A15">
        <v>11</v>
      </c>
    </row>
    <row r="16" spans="1:29" x14ac:dyDescent="0.3">
      <c r="A16">
        <v>12</v>
      </c>
    </row>
    <row r="17" spans="1:1" x14ac:dyDescent="0.3">
      <c r="A17">
        <v>13</v>
      </c>
    </row>
    <row r="18" spans="1:1" x14ac:dyDescent="0.3">
      <c r="A18">
        <v>14</v>
      </c>
    </row>
    <row r="19" spans="1:1" x14ac:dyDescent="0.3">
      <c r="A19">
        <v>15</v>
      </c>
    </row>
    <row r="20" spans="1:1" x14ac:dyDescent="0.3">
      <c r="A20">
        <v>16</v>
      </c>
    </row>
    <row r="21" spans="1:1" x14ac:dyDescent="0.3">
      <c r="A21">
        <v>17</v>
      </c>
    </row>
    <row r="22" spans="1:1" x14ac:dyDescent="0.3">
      <c r="A22">
        <v>18</v>
      </c>
    </row>
    <row r="23" spans="1:1" x14ac:dyDescent="0.3">
      <c r="A23">
        <v>19</v>
      </c>
    </row>
    <row r="24" spans="1:1" x14ac:dyDescent="0.3">
      <c r="A24">
        <v>20</v>
      </c>
    </row>
    <row r="25" spans="1:1" x14ac:dyDescent="0.3">
      <c r="A25">
        <v>21</v>
      </c>
    </row>
    <row r="26" spans="1:1" x14ac:dyDescent="0.3">
      <c r="A26">
        <v>22</v>
      </c>
    </row>
    <row r="27" spans="1:1" x14ac:dyDescent="0.3">
      <c r="A27">
        <v>23</v>
      </c>
    </row>
    <row r="28" spans="1:1" x14ac:dyDescent="0.3">
      <c r="A28">
        <v>24</v>
      </c>
    </row>
    <row r="29" spans="1:1" x14ac:dyDescent="0.3">
      <c r="A29">
        <v>25</v>
      </c>
    </row>
    <row r="30" spans="1:1" x14ac:dyDescent="0.3">
      <c r="A30">
        <v>26</v>
      </c>
    </row>
    <row r="31" spans="1:1" x14ac:dyDescent="0.3">
      <c r="A31">
        <v>27</v>
      </c>
    </row>
    <row r="32" spans="1:1" x14ac:dyDescent="0.3">
      <c r="A32">
        <v>28</v>
      </c>
    </row>
    <row r="33" spans="1:1" x14ac:dyDescent="0.3">
      <c r="A33">
        <v>29</v>
      </c>
    </row>
    <row r="34" spans="1:1" x14ac:dyDescent="0.3">
      <c r="A34">
        <v>30</v>
      </c>
    </row>
    <row r="35" spans="1:1" x14ac:dyDescent="0.3">
      <c r="A35">
        <v>31</v>
      </c>
    </row>
    <row r="36" spans="1:1" x14ac:dyDescent="0.3">
      <c r="A36">
        <v>32</v>
      </c>
    </row>
    <row r="37" spans="1:1" x14ac:dyDescent="0.3">
      <c r="A37">
        <v>33</v>
      </c>
    </row>
    <row r="38" spans="1:1" x14ac:dyDescent="0.3">
      <c r="A38">
        <v>34</v>
      </c>
    </row>
    <row r="39" spans="1:1" x14ac:dyDescent="0.3">
      <c r="A39">
        <v>35</v>
      </c>
    </row>
    <row r="40" spans="1:1" x14ac:dyDescent="0.3">
      <c r="A40">
        <v>36</v>
      </c>
    </row>
    <row r="41" spans="1:1" x14ac:dyDescent="0.3">
      <c r="A41">
        <v>37</v>
      </c>
    </row>
    <row r="42" spans="1:1" x14ac:dyDescent="0.3">
      <c r="A42">
        <v>38</v>
      </c>
    </row>
    <row r="43" spans="1:1" x14ac:dyDescent="0.3">
      <c r="A43">
        <v>39</v>
      </c>
    </row>
    <row r="44" spans="1:1" x14ac:dyDescent="0.3">
      <c r="A44">
        <v>40</v>
      </c>
    </row>
    <row r="45" spans="1:1" x14ac:dyDescent="0.3">
      <c r="A45">
        <v>41</v>
      </c>
    </row>
    <row r="46" spans="1:1" x14ac:dyDescent="0.3">
      <c r="A46">
        <v>42</v>
      </c>
    </row>
    <row r="47" spans="1:1" x14ac:dyDescent="0.3">
      <c r="A47">
        <v>43</v>
      </c>
    </row>
    <row r="48" spans="1:1" x14ac:dyDescent="0.3">
      <c r="A48">
        <v>44</v>
      </c>
    </row>
    <row r="49" spans="1:1" x14ac:dyDescent="0.3">
      <c r="A49">
        <v>45</v>
      </c>
    </row>
    <row r="50" spans="1:1" x14ac:dyDescent="0.3">
      <c r="A50">
        <v>46</v>
      </c>
    </row>
    <row r="51" spans="1:1" x14ac:dyDescent="0.3">
      <c r="A51">
        <v>47</v>
      </c>
    </row>
    <row r="52" spans="1:1" x14ac:dyDescent="0.3">
      <c r="A52">
        <v>48</v>
      </c>
    </row>
    <row r="53" spans="1:1" x14ac:dyDescent="0.3">
      <c r="A53">
        <v>49</v>
      </c>
    </row>
    <row r="54" spans="1:1" x14ac:dyDescent="0.3">
      <c r="A54">
        <v>50</v>
      </c>
    </row>
    <row r="55" spans="1:1" x14ac:dyDescent="0.3">
      <c r="A55">
        <v>51</v>
      </c>
    </row>
    <row r="56" spans="1:1" x14ac:dyDescent="0.3">
      <c r="A56">
        <v>52</v>
      </c>
    </row>
    <row r="57" spans="1:1" x14ac:dyDescent="0.3">
      <c r="A57">
        <v>53</v>
      </c>
    </row>
    <row r="58" spans="1:1" x14ac:dyDescent="0.3">
      <c r="A58">
        <v>54</v>
      </c>
    </row>
    <row r="59" spans="1:1" x14ac:dyDescent="0.3">
      <c r="A59">
        <v>55</v>
      </c>
    </row>
    <row r="60" spans="1:1" x14ac:dyDescent="0.3">
      <c r="A60">
        <v>56</v>
      </c>
    </row>
    <row r="61" spans="1:1" x14ac:dyDescent="0.3">
      <c r="A61">
        <v>57</v>
      </c>
    </row>
    <row r="62" spans="1:1" x14ac:dyDescent="0.3">
      <c r="A62">
        <v>58</v>
      </c>
    </row>
    <row r="63" spans="1:1" x14ac:dyDescent="0.3">
      <c r="A63">
        <v>59</v>
      </c>
    </row>
    <row r="64" spans="1:1" x14ac:dyDescent="0.3">
      <c r="A64">
        <v>60</v>
      </c>
    </row>
    <row r="65" spans="1:1" x14ac:dyDescent="0.3">
      <c r="A65">
        <v>61</v>
      </c>
    </row>
    <row r="66" spans="1:1" x14ac:dyDescent="0.3">
      <c r="A66">
        <v>62</v>
      </c>
    </row>
    <row r="67" spans="1:1" x14ac:dyDescent="0.3">
      <c r="A67">
        <v>63</v>
      </c>
    </row>
    <row r="68" spans="1:1" x14ac:dyDescent="0.3">
      <c r="A68">
        <v>64</v>
      </c>
    </row>
    <row r="69" spans="1:1" x14ac:dyDescent="0.3">
      <c r="A69">
        <v>65</v>
      </c>
    </row>
    <row r="70" spans="1:1" x14ac:dyDescent="0.3">
      <c r="A70">
        <v>66</v>
      </c>
    </row>
    <row r="71" spans="1:1" x14ac:dyDescent="0.3">
      <c r="A71">
        <v>67</v>
      </c>
    </row>
    <row r="72" spans="1:1" x14ac:dyDescent="0.3">
      <c r="A72">
        <v>68</v>
      </c>
    </row>
    <row r="73" spans="1:1" x14ac:dyDescent="0.3">
      <c r="A73">
        <v>69</v>
      </c>
    </row>
    <row r="74" spans="1:1" x14ac:dyDescent="0.3">
      <c r="A74">
        <v>70</v>
      </c>
    </row>
    <row r="75" spans="1:1" x14ac:dyDescent="0.3">
      <c r="A75">
        <v>71</v>
      </c>
    </row>
    <row r="76" spans="1:1" x14ac:dyDescent="0.3">
      <c r="A76">
        <v>72</v>
      </c>
    </row>
    <row r="77" spans="1:1" x14ac:dyDescent="0.3">
      <c r="A77">
        <v>73</v>
      </c>
    </row>
    <row r="78" spans="1:1" x14ac:dyDescent="0.3">
      <c r="A78">
        <v>74</v>
      </c>
    </row>
    <row r="79" spans="1:1" x14ac:dyDescent="0.3">
      <c r="A79">
        <v>75</v>
      </c>
    </row>
    <row r="80" spans="1:1" x14ac:dyDescent="0.3">
      <c r="A80">
        <v>76</v>
      </c>
    </row>
    <row r="81" spans="1:1" x14ac:dyDescent="0.3">
      <c r="A81">
        <v>77</v>
      </c>
    </row>
    <row r="82" spans="1:1" x14ac:dyDescent="0.3">
      <c r="A82">
        <v>78</v>
      </c>
    </row>
    <row r="83" spans="1:1" x14ac:dyDescent="0.3">
      <c r="A83">
        <v>79</v>
      </c>
    </row>
    <row r="84" spans="1:1" x14ac:dyDescent="0.3">
      <c r="A84">
        <v>80</v>
      </c>
    </row>
    <row r="85" spans="1:1" x14ac:dyDescent="0.3">
      <c r="A85">
        <v>81</v>
      </c>
    </row>
    <row r="86" spans="1:1" x14ac:dyDescent="0.3">
      <c r="A86">
        <v>82</v>
      </c>
    </row>
    <row r="87" spans="1:1" x14ac:dyDescent="0.3">
      <c r="A87">
        <v>83</v>
      </c>
    </row>
    <row r="88" spans="1:1" x14ac:dyDescent="0.3">
      <c r="A88">
        <v>84</v>
      </c>
    </row>
    <row r="89" spans="1:1" x14ac:dyDescent="0.3">
      <c r="A89">
        <v>85</v>
      </c>
    </row>
    <row r="90" spans="1:1" x14ac:dyDescent="0.3">
      <c r="A90">
        <v>86</v>
      </c>
    </row>
    <row r="91" spans="1:1" x14ac:dyDescent="0.3">
      <c r="A91">
        <v>87</v>
      </c>
    </row>
    <row r="92" spans="1:1" x14ac:dyDescent="0.3">
      <c r="A92">
        <v>88</v>
      </c>
    </row>
    <row r="93" spans="1:1" x14ac:dyDescent="0.3">
      <c r="A93">
        <v>89</v>
      </c>
    </row>
    <row r="94" spans="1:1" x14ac:dyDescent="0.3">
      <c r="A94">
        <v>90</v>
      </c>
    </row>
    <row r="95" spans="1:1" x14ac:dyDescent="0.3">
      <c r="A95">
        <v>91</v>
      </c>
    </row>
    <row r="96" spans="1:1" x14ac:dyDescent="0.3">
      <c r="A96">
        <v>92</v>
      </c>
    </row>
    <row r="97" spans="1:29" x14ac:dyDescent="0.3">
      <c r="A97">
        <v>93</v>
      </c>
    </row>
    <row r="98" spans="1:29" x14ac:dyDescent="0.3">
      <c r="A98">
        <v>94</v>
      </c>
    </row>
    <row r="99" spans="1:29" x14ac:dyDescent="0.3">
      <c r="A99">
        <v>95</v>
      </c>
    </row>
    <row r="100" spans="1:29" x14ac:dyDescent="0.3">
      <c r="A100">
        <v>96</v>
      </c>
    </row>
    <row r="101" spans="1:29" x14ac:dyDescent="0.3">
      <c r="A101">
        <v>97</v>
      </c>
    </row>
    <row r="102" spans="1:29" x14ac:dyDescent="0.3">
      <c r="A102">
        <v>98</v>
      </c>
    </row>
    <row r="103" spans="1:29" x14ac:dyDescent="0.3">
      <c r="A103">
        <v>99</v>
      </c>
    </row>
    <row r="104" spans="1:29" x14ac:dyDescent="0.3">
      <c r="A104">
        <v>100</v>
      </c>
    </row>
    <row r="106" spans="1:29" x14ac:dyDescent="0.3">
      <c r="A106" t="s">
        <v>65</v>
      </c>
      <c r="B106" t="s">
        <v>65</v>
      </c>
      <c r="C106" t="s">
        <v>65</v>
      </c>
      <c r="D106" t="s">
        <v>65</v>
      </c>
      <c r="E106" t="s">
        <v>65</v>
      </c>
      <c r="F106" t="s">
        <v>65</v>
      </c>
      <c r="G106" t="s">
        <v>99</v>
      </c>
      <c r="H106" t="s">
        <v>99</v>
      </c>
      <c r="I106" t="s">
        <v>99</v>
      </c>
      <c r="J106" t="s">
        <v>99</v>
      </c>
      <c r="K106" t="s">
        <v>99</v>
      </c>
      <c r="L106" t="s">
        <v>99</v>
      </c>
      <c r="M106" t="s">
        <v>93</v>
      </c>
      <c r="N106" t="s">
        <v>93</v>
      </c>
      <c r="O106" t="s">
        <v>93</v>
      </c>
      <c r="P106" t="s">
        <v>93</v>
      </c>
      <c r="Q106" t="s">
        <v>93</v>
      </c>
      <c r="R106" t="s">
        <v>93</v>
      </c>
      <c r="S106" t="s">
        <v>97</v>
      </c>
      <c r="T106" t="s">
        <v>97</v>
      </c>
      <c r="U106" t="s">
        <v>97</v>
      </c>
      <c r="V106" t="s">
        <v>97</v>
      </c>
      <c r="W106" t="s">
        <v>100</v>
      </c>
      <c r="X106" t="s">
        <v>100</v>
      </c>
      <c r="Y106" t="s">
        <v>100</v>
      </c>
      <c r="Z106" t="s">
        <v>100</v>
      </c>
      <c r="AA106" t="s">
        <v>100</v>
      </c>
      <c r="AB106" t="s">
        <v>100</v>
      </c>
      <c r="AC106" t="s">
        <v>50</v>
      </c>
    </row>
    <row r="107" spans="1:29" x14ac:dyDescent="0.3">
      <c r="A107" t="s">
        <v>64</v>
      </c>
      <c r="C107" t="s">
        <v>92</v>
      </c>
      <c r="E107" t="s">
        <v>91</v>
      </c>
      <c r="G107" t="s">
        <v>94</v>
      </c>
      <c r="I107" t="s">
        <v>95</v>
      </c>
      <c r="K107" t="s">
        <v>96</v>
      </c>
      <c r="M107" t="s">
        <v>94</v>
      </c>
      <c r="O107" t="s">
        <v>95</v>
      </c>
      <c r="Q107" t="s">
        <v>96</v>
      </c>
      <c r="S107" t="s">
        <v>94</v>
      </c>
      <c r="U107" t="s">
        <v>98</v>
      </c>
      <c r="W107" t="s">
        <v>64</v>
      </c>
      <c r="Y107" t="s">
        <v>92</v>
      </c>
      <c r="AA107" t="s">
        <v>91</v>
      </c>
    </row>
    <row r="108" spans="1:29" x14ac:dyDescent="0.3">
      <c r="A108" t="s">
        <v>63</v>
      </c>
      <c r="B108" t="s">
        <v>49</v>
      </c>
      <c r="C108" t="s">
        <v>50</v>
      </c>
      <c r="D108" t="s">
        <v>49</v>
      </c>
      <c r="E108" t="s">
        <v>50</v>
      </c>
      <c r="F108" t="s">
        <v>49</v>
      </c>
      <c r="G108" t="s">
        <v>50</v>
      </c>
      <c r="H108" t="s">
        <v>49</v>
      </c>
      <c r="I108" t="s">
        <v>50</v>
      </c>
      <c r="J108" t="s">
        <v>49</v>
      </c>
      <c r="K108" t="s">
        <v>50</v>
      </c>
      <c r="L108" t="s">
        <v>49</v>
      </c>
      <c r="M108" t="s">
        <v>50</v>
      </c>
      <c r="N108" t="s">
        <v>49</v>
      </c>
      <c r="O108" t="s">
        <v>50</v>
      </c>
      <c r="P108" t="s">
        <v>49</v>
      </c>
      <c r="Q108" t="s">
        <v>50</v>
      </c>
      <c r="R108" t="s">
        <v>49</v>
      </c>
      <c r="S108" t="s">
        <v>50</v>
      </c>
      <c r="T108" t="s">
        <v>49</v>
      </c>
      <c r="U108" t="s">
        <v>50</v>
      </c>
      <c r="V108" t="s">
        <v>49</v>
      </c>
      <c r="W108" t="s">
        <v>50</v>
      </c>
      <c r="X108" t="s">
        <v>49</v>
      </c>
      <c r="Y108" t="s">
        <v>50</v>
      </c>
      <c r="Z108" t="s">
        <v>49</v>
      </c>
      <c r="AA108" t="s">
        <v>50</v>
      </c>
      <c r="AB108" t="s">
        <v>49</v>
      </c>
    </row>
    <row r="109" spans="1:29" x14ac:dyDescent="0.3">
      <c r="A109">
        <v>0</v>
      </c>
    </row>
    <row r="110" spans="1:29" x14ac:dyDescent="0.3">
      <c r="A110">
        <v>1</v>
      </c>
    </row>
    <row r="111" spans="1:29" x14ac:dyDescent="0.3">
      <c r="A111">
        <v>2</v>
      </c>
    </row>
    <row r="112" spans="1:29" x14ac:dyDescent="0.3">
      <c r="A112">
        <v>3</v>
      </c>
    </row>
    <row r="113" spans="1:1" x14ac:dyDescent="0.3">
      <c r="A113">
        <v>4</v>
      </c>
    </row>
    <row r="114" spans="1:1" x14ac:dyDescent="0.3">
      <c r="A114">
        <v>5</v>
      </c>
    </row>
    <row r="115" spans="1:1" x14ac:dyDescent="0.3">
      <c r="A115">
        <v>6</v>
      </c>
    </row>
    <row r="116" spans="1:1" x14ac:dyDescent="0.3">
      <c r="A116">
        <v>7</v>
      </c>
    </row>
    <row r="117" spans="1:1" x14ac:dyDescent="0.3">
      <c r="A117">
        <v>8</v>
      </c>
    </row>
    <row r="118" spans="1:1" x14ac:dyDescent="0.3">
      <c r="A118">
        <v>9</v>
      </c>
    </row>
    <row r="119" spans="1:1" x14ac:dyDescent="0.3">
      <c r="A119">
        <v>10</v>
      </c>
    </row>
    <row r="120" spans="1:1" x14ac:dyDescent="0.3">
      <c r="A120">
        <v>11</v>
      </c>
    </row>
    <row r="121" spans="1:1" x14ac:dyDescent="0.3">
      <c r="A121">
        <v>12</v>
      </c>
    </row>
    <row r="122" spans="1:1" x14ac:dyDescent="0.3">
      <c r="A122">
        <v>13</v>
      </c>
    </row>
    <row r="123" spans="1:1" x14ac:dyDescent="0.3">
      <c r="A123">
        <v>14</v>
      </c>
    </row>
    <row r="124" spans="1:1" x14ac:dyDescent="0.3">
      <c r="A124">
        <v>15</v>
      </c>
    </row>
    <row r="125" spans="1:1" x14ac:dyDescent="0.3">
      <c r="A125">
        <v>16</v>
      </c>
    </row>
    <row r="126" spans="1:1" x14ac:dyDescent="0.3">
      <c r="A126">
        <v>17</v>
      </c>
    </row>
    <row r="127" spans="1:1" x14ac:dyDescent="0.3">
      <c r="A127">
        <v>18</v>
      </c>
    </row>
    <row r="128" spans="1:1" x14ac:dyDescent="0.3">
      <c r="A128">
        <v>19</v>
      </c>
    </row>
    <row r="129" spans="1:1" x14ac:dyDescent="0.3">
      <c r="A129">
        <v>20</v>
      </c>
    </row>
    <row r="130" spans="1:1" x14ac:dyDescent="0.3">
      <c r="A130">
        <v>21</v>
      </c>
    </row>
    <row r="131" spans="1:1" x14ac:dyDescent="0.3">
      <c r="A131">
        <v>22</v>
      </c>
    </row>
    <row r="132" spans="1:1" x14ac:dyDescent="0.3">
      <c r="A132">
        <v>23</v>
      </c>
    </row>
    <row r="133" spans="1:1" x14ac:dyDescent="0.3">
      <c r="A133">
        <v>24</v>
      </c>
    </row>
    <row r="134" spans="1:1" x14ac:dyDescent="0.3">
      <c r="A134">
        <v>25</v>
      </c>
    </row>
    <row r="135" spans="1:1" x14ac:dyDescent="0.3">
      <c r="A135">
        <v>26</v>
      </c>
    </row>
    <row r="136" spans="1:1" x14ac:dyDescent="0.3">
      <c r="A136">
        <v>27</v>
      </c>
    </row>
    <row r="137" spans="1:1" x14ac:dyDescent="0.3">
      <c r="A137">
        <v>28</v>
      </c>
    </row>
    <row r="138" spans="1:1" x14ac:dyDescent="0.3">
      <c r="A138">
        <v>29</v>
      </c>
    </row>
    <row r="139" spans="1:1" x14ac:dyDescent="0.3">
      <c r="A139">
        <v>30</v>
      </c>
    </row>
    <row r="140" spans="1:1" x14ac:dyDescent="0.3">
      <c r="A140">
        <v>31</v>
      </c>
    </row>
    <row r="141" spans="1:1" x14ac:dyDescent="0.3">
      <c r="A141">
        <v>32</v>
      </c>
    </row>
    <row r="142" spans="1:1" x14ac:dyDescent="0.3">
      <c r="A142">
        <v>33</v>
      </c>
    </row>
    <row r="143" spans="1:1" x14ac:dyDescent="0.3">
      <c r="A143">
        <v>34</v>
      </c>
    </row>
    <row r="144" spans="1:1" x14ac:dyDescent="0.3">
      <c r="A144">
        <v>35</v>
      </c>
    </row>
    <row r="145" spans="1:1" x14ac:dyDescent="0.3">
      <c r="A145">
        <v>36</v>
      </c>
    </row>
    <row r="146" spans="1:1" x14ac:dyDescent="0.3">
      <c r="A146">
        <v>37</v>
      </c>
    </row>
    <row r="147" spans="1:1" x14ac:dyDescent="0.3">
      <c r="A147">
        <v>38</v>
      </c>
    </row>
    <row r="148" spans="1:1" x14ac:dyDescent="0.3">
      <c r="A148">
        <v>39</v>
      </c>
    </row>
    <row r="149" spans="1:1" x14ac:dyDescent="0.3">
      <c r="A149">
        <v>40</v>
      </c>
    </row>
    <row r="150" spans="1:1" x14ac:dyDescent="0.3">
      <c r="A150">
        <v>41</v>
      </c>
    </row>
    <row r="151" spans="1:1" x14ac:dyDescent="0.3">
      <c r="A151">
        <v>42</v>
      </c>
    </row>
    <row r="152" spans="1:1" x14ac:dyDescent="0.3">
      <c r="A152">
        <v>43</v>
      </c>
    </row>
    <row r="153" spans="1:1" x14ac:dyDescent="0.3">
      <c r="A153">
        <v>44</v>
      </c>
    </row>
    <row r="154" spans="1:1" x14ac:dyDescent="0.3">
      <c r="A154">
        <v>45</v>
      </c>
    </row>
    <row r="155" spans="1:1" x14ac:dyDescent="0.3">
      <c r="A155">
        <v>46</v>
      </c>
    </row>
    <row r="156" spans="1:1" x14ac:dyDescent="0.3">
      <c r="A156">
        <v>47</v>
      </c>
    </row>
    <row r="157" spans="1:1" x14ac:dyDescent="0.3">
      <c r="A157">
        <v>48</v>
      </c>
    </row>
    <row r="158" spans="1:1" x14ac:dyDescent="0.3">
      <c r="A158">
        <v>49</v>
      </c>
    </row>
    <row r="159" spans="1:1" x14ac:dyDescent="0.3">
      <c r="A159">
        <v>50</v>
      </c>
    </row>
    <row r="160" spans="1:1" x14ac:dyDescent="0.3">
      <c r="A160">
        <v>51</v>
      </c>
    </row>
    <row r="161" spans="1:1" x14ac:dyDescent="0.3">
      <c r="A161">
        <v>52</v>
      </c>
    </row>
    <row r="162" spans="1:1" x14ac:dyDescent="0.3">
      <c r="A162">
        <v>53</v>
      </c>
    </row>
    <row r="163" spans="1:1" x14ac:dyDescent="0.3">
      <c r="A163">
        <v>54</v>
      </c>
    </row>
    <row r="164" spans="1:1" x14ac:dyDescent="0.3">
      <c r="A164">
        <v>55</v>
      </c>
    </row>
    <row r="165" spans="1:1" x14ac:dyDescent="0.3">
      <c r="A165">
        <v>56</v>
      </c>
    </row>
    <row r="166" spans="1:1" x14ac:dyDescent="0.3">
      <c r="A166">
        <v>57</v>
      </c>
    </row>
    <row r="167" spans="1:1" x14ac:dyDescent="0.3">
      <c r="A167">
        <v>58</v>
      </c>
    </row>
    <row r="168" spans="1:1" x14ac:dyDescent="0.3">
      <c r="A168">
        <v>59</v>
      </c>
    </row>
    <row r="169" spans="1:1" x14ac:dyDescent="0.3">
      <c r="A169">
        <v>60</v>
      </c>
    </row>
    <row r="170" spans="1:1" x14ac:dyDescent="0.3">
      <c r="A170">
        <v>61</v>
      </c>
    </row>
    <row r="171" spans="1:1" x14ac:dyDescent="0.3">
      <c r="A171">
        <v>62</v>
      </c>
    </row>
    <row r="172" spans="1:1" x14ac:dyDescent="0.3">
      <c r="A172">
        <v>63</v>
      </c>
    </row>
    <row r="173" spans="1:1" x14ac:dyDescent="0.3">
      <c r="A173">
        <v>64</v>
      </c>
    </row>
    <row r="174" spans="1:1" x14ac:dyDescent="0.3">
      <c r="A174">
        <v>65</v>
      </c>
    </row>
    <row r="175" spans="1:1" x14ac:dyDescent="0.3">
      <c r="A175">
        <v>66</v>
      </c>
    </row>
    <row r="176" spans="1:1" x14ac:dyDescent="0.3">
      <c r="A176">
        <v>67</v>
      </c>
    </row>
    <row r="177" spans="1:1" x14ac:dyDescent="0.3">
      <c r="A177">
        <v>68</v>
      </c>
    </row>
    <row r="178" spans="1:1" x14ac:dyDescent="0.3">
      <c r="A178">
        <v>69</v>
      </c>
    </row>
    <row r="179" spans="1:1" x14ac:dyDescent="0.3">
      <c r="A179">
        <v>70</v>
      </c>
    </row>
    <row r="180" spans="1:1" x14ac:dyDescent="0.3">
      <c r="A180">
        <v>71</v>
      </c>
    </row>
    <row r="181" spans="1:1" x14ac:dyDescent="0.3">
      <c r="A181">
        <v>72</v>
      </c>
    </row>
    <row r="182" spans="1:1" x14ac:dyDescent="0.3">
      <c r="A182">
        <v>73</v>
      </c>
    </row>
    <row r="183" spans="1:1" x14ac:dyDescent="0.3">
      <c r="A183">
        <v>74</v>
      </c>
    </row>
    <row r="184" spans="1:1" x14ac:dyDescent="0.3">
      <c r="A184">
        <v>75</v>
      </c>
    </row>
    <row r="185" spans="1:1" x14ac:dyDescent="0.3">
      <c r="A185">
        <v>76</v>
      </c>
    </row>
    <row r="186" spans="1:1" x14ac:dyDescent="0.3">
      <c r="A186">
        <v>77</v>
      </c>
    </row>
    <row r="187" spans="1:1" x14ac:dyDescent="0.3">
      <c r="A187">
        <v>78</v>
      </c>
    </row>
    <row r="188" spans="1:1" x14ac:dyDescent="0.3">
      <c r="A188">
        <v>79</v>
      </c>
    </row>
    <row r="189" spans="1:1" x14ac:dyDescent="0.3">
      <c r="A189">
        <v>80</v>
      </c>
    </row>
    <row r="190" spans="1:1" x14ac:dyDescent="0.3">
      <c r="A190">
        <v>81</v>
      </c>
    </row>
    <row r="191" spans="1:1" x14ac:dyDescent="0.3">
      <c r="A191">
        <v>82</v>
      </c>
    </row>
    <row r="192" spans="1:1" x14ac:dyDescent="0.3">
      <c r="A192">
        <v>83</v>
      </c>
    </row>
    <row r="193" spans="1:1" x14ac:dyDescent="0.3">
      <c r="A193">
        <v>84</v>
      </c>
    </row>
    <row r="194" spans="1:1" x14ac:dyDescent="0.3">
      <c r="A194">
        <v>85</v>
      </c>
    </row>
    <row r="195" spans="1:1" x14ac:dyDescent="0.3">
      <c r="A195">
        <v>86</v>
      </c>
    </row>
    <row r="196" spans="1:1" x14ac:dyDescent="0.3">
      <c r="A196">
        <v>87</v>
      </c>
    </row>
    <row r="197" spans="1:1" x14ac:dyDescent="0.3">
      <c r="A197">
        <v>88</v>
      </c>
    </row>
    <row r="198" spans="1:1" x14ac:dyDescent="0.3">
      <c r="A198">
        <v>89</v>
      </c>
    </row>
    <row r="199" spans="1:1" x14ac:dyDescent="0.3">
      <c r="A199">
        <v>90</v>
      </c>
    </row>
    <row r="200" spans="1:1" x14ac:dyDescent="0.3">
      <c r="A200">
        <v>91</v>
      </c>
    </row>
    <row r="201" spans="1:1" x14ac:dyDescent="0.3">
      <c r="A201">
        <v>92</v>
      </c>
    </row>
    <row r="202" spans="1:1" x14ac:dyDescent="0.3">
      <c r="A202">
        <v>93</v>
      </c>
    </row>
    <row r="203" spans="1:1" x14ac:dyDescent="0.3">
      <c r="A203">
        <v>94</v>
      </c>
    </row>
    <row r="204" spans="1:1" x14ac:dyDescent="0.3">
      <c r="A204">
        <v>95</v>
      </c>
    </row>
    <row r="205" spans="1:1" x14ac:dyDescent="0.3">
      <c r="A205">
        <v>96</v>
      </c>
    </row>
    <row r="206" spans="1:1" x14ac:dyDescent="0.3">
      <c r="A206">
        <v>97</v>
      </c>
    </row>
    <row r="207" spans="1:1" x14ac:dyDescent="0.3">
      <c r="A207">
        <v>98</v>
      </c>
    </row>
    <row r="208" spans="1:1" x14ac:dyDescent="0.3">
      <c r="A208">
        <v>99</v>
      </c>
    </row>
    <row r="209" spans="1:1" x14ac:dyDescent="0.3">
      <c r="A209">
        <v>100</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W72"/>
  <sheetViews>
    <sheetView zoomScale="70" zoomScaleNormal="70" workbookViewId="0">
      <selection activeCell="G12" sqref="G12"/>
    </sheetView>
  </sheetViews>
  <sheetFormatPr baseColWidth="10" defaultRowHeight="14.4" x14ac:dyDescent="0.3"/>
  <cols>
    <col min="2" max="2" width="13.109375" bestFit="1" customWidth="1"/>
    <col min="5" max="5" width="8" bestFit="1" customWidth="1"/>
    <col min="6" max="6" width="15.5546875" bestFit="1" customWidth="1"/>
    <col min="7" max="7" width="17.6640625" bestFit="1" customWidth="1"/>
    <col min="8" max="8" width="11.44140625"/>
    <col min="9" max="9" width="17.5546875" customWidth="1"/>
    <col min="10" max="10" width="27.33203125" customWidth="1"/>
    <col min="11" max="11" width="11.6640625" bestFit="1" customWidth="1"/>
    <col min="12" max="12" width="8.88671875" bestFit="1" customWidth="1"/>
    <col min="13" max="13" width="14.33203125" bestFit="1" customWidth="1"/>
    <col min="14" max="14" width="14.33203125" customWidth="1"/>
    <col min="15" max="15" width="28.5546875" bestFit="1" customWidth="1"/>
    <col min="16" max="16" width="25.88671875" bestFit="1" customWidth="1"/>
    <col min="17" max="17" width="31.109375" bestFit="1" customWidth="1"/>
    <col min="18" max="18" width="18" bestFit="1" customWidth="1"/>
    <col min="19" max="19" width="12.109375" bestFit="1" customWidth="1"/>
    <col min="20" max="20" width="15.6640625" bestFit="1" customWidth="1"/>
  </cols>
  <sheetData>
    <row r="1" spans="1:23" s="3" customFormat="1" x14ac:dyDescent="0.3">
      <c r="A1" s="3" t="s">
        <v>15</v>
      </c>
      <c r="B1" s="3" t="s">
        <v>16</v>
      </c>
      <c r="C1" s="3" t="s">
        <v>53</v>
      </c>
      <c r="D1" s="3" t="s">
        <v>219</v>
      </c>
      <c r="E1" s="91" t="s">
        <v>7</v>
      </c>
      <c r="F1" s="91" t="s">
        <v>223</v>
      </c>
      <c r="G1" s="91" t="s">
        <v>224</v>
      </c>
      <c r="H1" s="91" t="s">
        <v>225</v>
      </c>
      <c r="I1" s="91"/>
      <c r="J1" s="91" t="s">
        <v>226</v>
      </c>
      <c r="K1" s="91" t="s">
        <v>227</v>
      </c>
      <c r="L1" s="91" t="s">
        <v>228</v>
      </c>
      <c r="M1" s="91" t="s">
        <v>229</v>
      </c>
      <c r="N1" s="91" t="s">
        <v>365</v>
      </c>
      <c r="O1" s="91" t="s">
        <v>11</v>
      </c>
      <c r="P1" s="91" t="s">
        <v>230</v>
      </c>
      <c r="Q1" s="91" t="s">
        <v>231</v>
      </c>
      <c r="R1" s="91" t="s">
        <v>232</v>
      </c>
      <c r="S1" s="91" t="s">
        <v>233</v>
      </c>
      <c r="T1" s="91" t="s">
        <v>234</v>
      </c>
      <c r="U1" s="91" t="s">
        <v>235</v>
      </c>
      <c r="V1" s="91"/>
      <c r="W1" s="91" t="s">
        <v>236</v>
      </c>
    </row>
    <row r="2" spans="1:23" x14ac:dyDescent="0.3">
      <c r="A2" t="s">
        <v>18</v>
      </c>
      <c r="B2" t="s">
        <v>20</v>
      </c>
      <c r="C2" t="s">
        <v>60</v>
      </c>
      <c r="D2" t="s">
        <v>220</v>
      </c>
      <c r="E2" t="s">
        <v>237</v>
      </c>
      <c r="F2" t="s">
        <v>470</v>
      </c>
      <c r="G2" t="s">
        <v>238</v>
      </c>
      <c r="H2" t="s">
        <v>239</v>
      </c>
      <c r="J2" t="s">
        <v>239</v>
      </c>
      <c r="K2">
        <v>1</v>
      </c>
      <c r="L2" t="s">
        <v>240</v>
      </c>
      <c r="M2" t="s">
        <v>241</v>
      </c>
      <c r="N2" t="s">
        <v>261</v>
      </c>
      <c r="O2" t="s">
        <v>242</v>
      </c>
      <c r="P2" t="s">
        <v>243</v>
      </c>
      <c r="Q2" t="s">
        <v>244</v>
      </c>
      <c r="R2" t="s">
        <v>245</v>
      </c>
      <c r="S2" t="s">
        <v>246</v>
      </c>
      <c r="T2" t="s">
        <v>247</v>
      </c>
      <c r="U2" t="s">
        <v>248</v>
      </c>
      <c r="W2" t="s">
        <v>249</v>
      </c>
    </row>
    <row r="3" spans="1:23" x14ac:dyDescent="0.3">
      <c r="A3" t="s">
        <v>19</v>
      </c>
      <c r="B3" t="s">
        <v>21</v>
      </c>
      <c r="C3" t="s">
        <v>54</v>
      </c>
      <c r="D3" t="s">
        <v>221</v>
      </c>
      <c r="E3" t="s">
        <v>222</v>
      </c>
      <c r="F3" t="s">
        <v>471</v>
      </c>
      <c r="G3" t="s">
        <v>250</v>
      </c>
      <c r="H3" s="92" t="s">
        <v>251</v>
      </c>
      <c r="J3" s="92" t="s">
        <v>251</v>
      </c>
      <c r="K3">
        <v>2</v>
      </c>
      <c r="L3" t="s">
        <v>252</v>
      </c>
      <c r="M3" t="s">
        <v>253</v>
      </c>
      <c r="N3" t="s">
        <v>268</v>
      </c>
      <c r="O3" t="s">
        <v>254</v>
      </c>
      <c r="P3" t="s">
        <v>255</v>
      </c>
      <c r="Q3" t="s">
        <v>256</v>
      </c>
      <c r="R3" t="s">
        <v>257</v>
      </c>
      <c r="S3" t="s">
        <v>49</v>
      </c>
      <c r="T3" t="s">
        <v>258</v>
      </c>
      <c r="U3" t="s">
        <v>259</v>
      </c>
      <c r="W3" t="s">
        <v>260</v>
      </c>
    </row>
    <row r="4" spans="1:23" x14ac:dyDescent="0.3">
      <c r="A4" t="s">
        <v>26</v>
      </c>
      <c r="B4" t="s">
        <v>22</v>
      </c>
      <c r="C4" t="s">
        <v>55</v>
      </c>
      <c r="D4" t="s">
        <v>217</v>
      </c>
      <c r="F4" t="s">
        <v>472</v>
      </c>
      <c r="H4" t="s">
        <v>473</v>
      </c>
      <c r="J4" t="s">
        <v>494</v>
      </c>
      <c r="K4">
        <v>0</v>
      </c>
      <c r="M4" t="s">
        <v>281</v>
      </c>
      <c r="N4" t="s">
        <v>273</v>
      </c>
      <c r="O4" t="s">
        <v>262</v>
      </c>
      <c r="P4" t="s">
        <v>263</v>
      </c>
      <c r="Q4" t="s">
        <v>264</v>
      </c>
      <c r="R4" t="s">
        <v>265</v>
      </c>
      <c r="S4" t="s">
        <v>266</v>
      </c>
      <c r="T4" t="s">
        <v>266</v>
      </c>
      <c r="U4" t="s">
        <v>267</v>
      </c>
    </row>
    <row r="5" spans="1:23" x14ac:dyDescent="0.3">
      <c r="C5" t="s">
        <v>56</v>
      </c>
      <c r="H5" t="s">
        <v>474</v>
      </c>
      <c r="J5" t="s">
        <v>495</v>
      </c>
      <c r="N5" t="s">
        <v>277</v>
      </c>
      <c r="O5" t="s">
        <v>269</v>
      </c>
      <c r="P5" t="s">
        <v>270</v>
      </c>
      <c r="S5" t="s">
        <v>271</v>
      </c>
      <c r="T5" t="s">
        <v>271</v>
      </c>
      <c r="U5" t="s">
        <v>272</v>
      </c>
    </row>
    <row r="6" spans="1:23" x14ac:dyDescent="0.3">
      <c r="C6" t="s">
        <v>57</v>
      </c>
      <c r="H6" t="s">
        <v>475</v>
      </c>
      <c r="J6" t="s">
        <v>496</v>
      </c>
      <c r="N6" t="s">
        <v>285</v>
      </c>
      <c r="O6" t="s">
        <v>274</v>
      </c>
      <c r="P6" t="s">
        <v>275</v>
      </c>
      <c r="U6" t="s">
        <v>276</v>
      </c>
    </row>
    <row r="7" spans="1:23" x14ac:dyDescent="0.3">
      <c r="C7" t="s">
        <v>58</v>
      </c>
      <c r="H7" t="s">
        <v>476</v>
      </c>
      <c r="J7" t="s">
        <v>497</v>
      </c>
      <c r="O7" t="s">
        <v>278</v>
      </c>
      <c r="P7" s="92" t="s">
        <v>279</v>
      </c>
      <c r="U7" t="s">
        <v>280</v>
      </c>
    </row>
    <row r="8" spans="1:23" x14ac:dyDescent="0.3">
      <c r="C8" t="s">
        <v>59</v>
      </c>
      <c r="H8" t="s">
        <v>477</v>
      </c>
      <c r="J8" t="s">
        <v>498</v>
      </c>
      <c r="O8" t="s">
        <v>282</v>
      </c>
      <c r="P8" t="s">
        <v>283</v>
      </c>
      <c r="U8" t="s">
        <v>284</v>
      </c>
    </row>
    <row r="9" spans="1:23" x14ac:dyDescent="0.3">
      <c r="H9" t="s">
        <v>478</v>
      </c>
      <c r="J9" t="s">
        <v>499</v>
      </c>
      <c r="P9" s="92" t="s">
        <v>251</v>
      </c>
      <c r="U9" t="s">
        <v>286</v>
      </c>
    </row>
    <row r="10" spans="1:23" x14ac:dyDescent="0.3">
      <c r="H10" t="s">
        <v>479</v>
      </c>
      <c r="J10" t="s">
        <v>500</v>
      </c>
      <c r="P10" t="s">
        <v>287</v>
      </c>
      <c r="U10" t="s">
        <v>288</v>
      </c>
    </row>
    <row r="11" spans="1:23" x14ac:dyDescent="0.3">
      <c r="H11" t="s">
        <v>480</v>
      </c>
      <c r="J11" t="s">
        <v>501</v>
      </c>
      <c r="P11" t="s">
        <v>289</v>
      </c>
      <c r="U11" t="s">
        <v>290</v>
      </c>
    </row>
    <row r="12" spans="1:23" x14ac:dyDescent="0.3">
      <c r="H12" s="92" t="s">
        <v>251</v>
      </c>
      <c r="J12" s="92" t="s">
        <v>251</v>
      </c>
      <c r="P12" t="s">
        <v>291</v>
      </c>
      <c r="U12" t="s">
        <v>292</v>
      </c>
    </row>
    <row r="13" spans="1:23" x14ac:dyDescent="0.3">
      <c r="H13" t="s">
        <v>481</v>
      </c>
      <c r="J13" t="s">
        <v>502</v>
      </c>
      <c r="P13" t="s">
        <v>293</v>
      </c>
      <c r="U13" t="s">
        <v>294</v>
      </c>
    </row>
    <row r="14" spans="1:23" x14ac:dyDescent="0.3">
      <c r="H14" t="s">
        <v>482</v>
      </c>
      <c r="J14" t="s">
        <v>503</v>
      </c>
      <c r="P14" t="s">
        <v>295</v>
      </c>
      <c r="U14" t="s">
        <v>296</v>
      </c>
    </row>
    <row r="15" spans="1:23" x14ac:dyDescent="0.3">
      <c r="H15" t="s">
        <v>483</v>
      </c>
      <c r="J15" t="s">
        <v>504</v>
      </c>
      <c r="P15" t="s">
        <v>297</v>
      </c>
      <c r="U15" t="s">
        <v>298</v>
      </c>
    </row>
    <row r="16" spans="1:23" x14ac:dyDescent="0.3">
      <c r="H16" s="92" t="s">
        <v>251</v>
      </c>
      <c r="J16" s="92" t="s">
        <v>251</v>
      </c>
      <c r="P16" t="s">
        <v>299</v>
      </c>
      <c r="U16" t="s">
        <v>300</v>
      </c>
    </row>
    <row r="17" spans="8:21" x14ac:dyDescent="0.3">
      <c r="H17" t="s">
        <v>484</v>
      </c>
      <c r="J17" t="s">
        <v>505</v>
      </c>
      <c r="P17" t="s">
        <v>301</v>
      </c>
      <c r="U17" t="s">
        <v>302</v>
      </c>
    </row>
    <row r="18" spans="8:21" x14ac:dyDescent="0.3">
      <c r="H18" t="s">
        <v>485</v>
      </c>
      <c r="J18" t="s">
        <v>506</v>
      </c>
      <c r="P18" s="92" t="s">
        <v>251</v>
      </c>
      <c r="U18" t="s">
        <v>303</v>
      </c>
    </row>
    <row r="19" spans="8:21" x14ac:dyDescent="0.3">
      <c r="H19" t="s">
        <v>486</v>
      </c>
      <c r="J19" t="s">
        <v>507</v>
      </c>
      <c r="P19" t="s">
        <v>304</v>
      </c>
      <c r="U19" t="s">
        <v>305</v>
      </c>
    </row>
    <row r="20" spans="8:21" x14ac:dyDescent="0.3">
      <c r="H20" t="s">
        <v>487</v>
      </c>
      <c r="J20" t="s">
        <v>508</v>
      </c>
      <c r="P20" t="s">
        <v>306</v>
      </c>
      <c r="U20" t="s">
        <v>307</v>
      </c>
    </row>
    <row r="21" spans="8:21" x14ac:dyDescent="0.3">
      <c r="H21" s="92" t="s">
        <v>251</v>
      </c>
      <c r="J21" s="92" t="s">
        <v>251</v>
      </c>
      <c r="P21" s="92" t="s">
        <v>251</v>
      </c>
      <c r="U21" t="s">
        <v>308</v>
      </c>
    </row>
    <row r="22" spans="8:21" x14ac:dyDescent="0.3">
      <c r="H22" t="s">
        <v>488</v>
      </c>
      <c r="J22" t="s">
        <v>509</v>
      </c>
      <c r="P22" t="s">
        <v>309</v>
      </c>
      <c r="U22" t="s">
        <v>310</v>
      </c>
    </row>
    <row r="23" spans="8:21" x14ac:dyDescent="0.3">
      <c r="H23" t="s">
        <v>489</v>
      </c>
      <c r="J23" t="s">
        <v>510</v>
      </c>
      <c r="P23" t="s">
        <v>311</v>
      </c>
      <c r="U23" t="s">
        <v>312</v>
      </c>
    </row>
    <row r="24" spans="8:21" x14ac:dyDescent="0.3">
      <c r="H24" t="s">
        <v>490</v>
      </c>
      <c r="J24" t="s">
        <v>511</v>
      </c>
      <c r="P24" t="s">
        <v>313</v>
      </c>
      <c r="U24" t="s">
        <v>314</v>
      </c>
    </row>
    <row r="25" spans="8:21" x14ac:dyDescent="0.3">
      <c r="H25" t="s">
        <v>491</v>
      </c>
      <c r="J25" t="s">
        <v>512</v>
      </c>
      <c r="P25" t="s">
        <v>315</v>
      </c>
      <c r="U25" t="s">
        <v>316</v>
      </c>
    </row>
    <row r="26" spans="8:21" x14ac:dyDescent="0.3">
      <c r="H26" t="s">
        <v>492</v>
      </c>
      <c r="J26" t="s">
        <v>513</v>
      </c>
      <c r="P26" s="92" t="s">
        <v>251</v>
      </c>
      <c r="U26" t="s">
        <v>317</v>
      </c>
    </row>
    <row r="27" spans="8:21" x14ac:dyDescent="0.3">
      <c r="H27" t="s">
        <v>493</v>
      </c>
      <c r="J27" t="s">
        <v>514</v>
      </c>
      <c r="P27" t="s">
        <v>318</v>
      </c>
      <c r="U27" t="s">
        <v>319</v>
      </c>
    </row>
    <row r="28" spans="8:21" x14ac:dyDescent="0.3">
      <c r="H28" s="92" t="s">
        <v>251</v>
      </c>
      <c r="J28" s="92" t="s">
        <v>251</v>
      </c>
      <c r="P28" t="s">
        <v>320</v>
      </c>
      <c r="U28" t="s">
        <v>321</v>
      </c>
    </row>
    <row r="29" spans="8:21" x14ac:dyDescent="0.3">
      <c r="H29" t="s">
        <v>494</v>
      </c>
      <c r="J29" t="s">
        <v>473</v>
      </c>
      <c r="P29" s="92" t="s">
        <v>251</v>
      </c>
      <c r="U29" t="s">
        <v>322</v>
      </c>
    </row>
    <row r="30" spans="8:21" x14ac:dyDescent="0.3">
      <c r="H30" t="s">
        <v>495</v>
      </c>
      <c r="J30" t="s">
        <v>474</v>
      </c>
      <c r="P30" t="s">
        <v>265</v>
      </c>
      <c r="U30" t="s">
        <v>323</v>
      </c>
    </row>
    <row r="31" spans="8:21" x14ac:dyDescent="0.3">
      <c r="H31" t="s">
        <v>496</v>
      </c>
      <c r="J31" t="s">
        <v>475</v>
      </c>
      <c r="P31" t="s">
        <v>264</v>
      </c>
      <c r="U31" t="s">
        <v>324</v>
      </c>
    </row>
    <row r="32" spans="8:21" x14ac:dyDescent="0.3">
      <c r="H32" t="s">
        <v>497</v>
      </c>
      <c r="J32" t="s">
        <v>476</v>
      </c>
      <c r="U32" t="s">
        <v>325</v>
      </c>
    </row>
    <row r="33" spans="8:21" x14ac:dyDescent="0.3">
      <c r="H33" t="s">
        <v>498</v>
      </c>
      <c r="J33" t="s">
        <v>477</v>
      </c>
      <c r="U33" t="s">
        <v>326</v>
      </c>
    </row>
    <row r="34" spans="8:21" x14ac:dyDescent="0.3">
      <c r="H34" t="s">
        <v>499</v>
      </c>
      <c r="J34" t="s">
        <v>478</v>
      </c>
      <c r="U34" t="s">
        <v>327</v>
      </c>
    </row>
    <row r="35" spans="8:21" x14ac:dyDescent="0.3">
      <c r="H35" t="s">
        <v>500</v>
      </c>
      <c r="J35" t="s">
        <v>479</v>
      </c>
      <c r="U35" t="s">
        <v>328</v>
      </c>
    </row>
    <row r="36" spans="8:21" x14ac:dyDescent="0.3">
      <c r="H36" t="s">
        <v>501</v>
      </c>
      <c r="J36" t="s">
        <v>480</v>
      </c>
      <c r="U36" t="s">
        <v>329</v>
      </c>
    </row>
    <row r="37" spans="8:21" x14ac:dyDescent="0.3">
      <c r="H37" s="92" t="s">
        <v>251</v>
      </c>
      <c r="J37" s="92" t="s">
        <v>251</v>
      </c>
      <c r="U37" s="92" t="s">
        <v>251</v>
      </c>
    </row>
    <row r="38" spans="8:21" x14ac:dyDescent="0.3">
      <c r="H38" t="s">
        <v>502</v>
      </c>
      <c r="J38" t="s">
        <v>481</v>
      </c>
      <c r="U38" t="s">
        <v>330</v>
      </c>
    </row>
    <row r="39" spans="8:21" x14ac:dyDescent="0.3">
      <c r="H39" t="s">
        <v>503</v>
      </c>
      <c r="J39" t="s">
        <v>482</v>
      </c>
      <c r="U39" t="s">
        <v>331</v>
      </c>
    </row>
    <row r="40" spans="8:21" x14ac:dyDescent="0.3">
      <c r="H40" t="s">
        <v>504</v>
      </c>
      <c r="J40" t="s">
        <v>483</v>
      </c>
      <c r="U40" t="s">
        <v>332</v>
      </c>
    </row>
    <row r="41" spans="8:21" x14ac:dyDescent="0.3">
      <c r="H41" s="92" t="s">
        <v>251</v>
      </c>
      <c r="J41" s="92" t="s">
        <v>251</v>
      </c>
      <c r="U41" t="s">
        <v>333</v>
      </c>
    </row>
    <row r="42" spans="8:21" x14ac:dyDescent="0.3">
      <c r="H42" t="s">
        <v>505</v>
      </c>
      <c r="J42" t="s">
        <v>484</v>
      </c>
      <c r="U42" t="s">
        <v>334</v>
      </c>
    </row>
    <row r="43" spans="8:21" x14ac:dyDescent="0.3">
      <c r="H43" t="s">
        <v>506</v>
      </c>
      <c r="J43" t="s">
        <v>485</v>
      </c>
      <c r="U43" t="s">
        <v>335</v>
      </c>
    </row>
    <row r="44" spans="8:21" x14ac:dyDescent="0.3">
      <c r="H44" t="s">
        <v>507</v>
      </c>
      <c r="J44" t="s">
        <v>486</v>
      </c>
      <c r="U44" t="s">
        <v>336</v>
      </c>
    </row>
    <row r="45" spans="8:21" x14ac:dyDescent="0.3">
      <c r="H45" t="s">
        <v>508</v>
      </c>
      <c r="J45" t="s">
        <v>487</v>
      </c>
      <c r="U45" t="s">
        <v>337</v>
      </c>
    </row>
    <row r="46" spans="8:21" x14ac:dyDescent="0.3">
      <c r="H46" s="92" t="s">
        <v>251</v>
      </c>
      <c r="J46" s="92" t="s">
        <v>251</v>
      </c>
      <c r="U46" t="s">
        <v>338</v>
      </c>
    </row>
    <row r="47" spans="8:21" x14ac:dyDescent="0.3">
      <c r="H47" t="s">
        <v>509</v>
      </c>
      <c r="J47" t="s">
        <v>488</v>
      </c>
      <c r="U47" t="s">
        <v>339</v>
      </c>
    </row>
    <row r="48" spans="8:21" x14ac:dyDescent="0.3">
      <c r="H48" t="s">
        <v>510</v>
      </c>
      <c r="J48" t="s">
        <v>489</v>
      </c>
      <c r="U48" t="s">
        <v>340</v>
      </c>
    </row>
    <row r="49" spans="8:21" x14ac:dyDescent="0.3">
      <c r="H49" t="s">
        <v>511</v>
      </c>
      <c r="J49" t="s">
        <v>490</v>
      </c>
      <c r="U49" t="s">
        <v>341</v>
      </c>
    </row>
    <row r="50" spans="8:21" x14ac:dyDescent="0.3">
      <c r="H50" t="s">
        <v>512</v>
      </c>
      <c r="J50" t="s">
        <v>491</v>
      </c>
      <c r="U50" t="s">
        <v>342</v>
      </c>
    </row>
    <row r="51" spans="8:21" x14ac:dyDescent="0.3">
      <c r="H51" t="s">
        <v>513</v>
      </c>
      <c r="J51" t="s">
        <v>492</v>
      </c>
      <c r="U51" t="s">
        <v>343</v>
      </c>
    </row>
    <row r="52" spans="8:21" x14ac:dyDescent="0.3">
      <c r="H52" t="s">
        <v>514</v>
      </c>
      <c r="J52" t="s">
        <v>493</v>
      </c>
      <c r="U52" t="s">
        <v>344</v>
      </c>
    </row>
    <row r="53" spans="8:21" x14ac:dyDescent="0.3">
      <c r="U53" t="s">
        <v>345</v>
      </c>
    </row>
    <row r="54" spans="8:21" x14ac:dyDescent="0.3">
      <c r="U54" t="s">
        <v>346</v>
      </c>
    </row>
    <row r="55" spans="8:21" x14ac:dyDescent="0.3">
      <c r="U55" t="s">
        <v>347</v>
      </c>
    </row>
    <row r="56" spans="8:21" x14ac:dyDescent="0.3">
      <c r="U56" t="s">
        <v>348</v>
      </c>
    </row>
    <row r="57" spans="8:21" x14ac:dyDescent="0.3">
      <c r="U57" t="s">
        <v>349</v>
      </c>
    </row>
    <row r="58" spans="8:21" x14ac:dyDescent="0.3">
      <c r="U58" t="s">
        <v>350</v>
      </c>
    </row>
    <row r="59" spans="8:21" x14ac:dyDescent="0.3">
      <c r="U59" t="s">
        <v>351</v>
      </c>
    </row>
    <row r="60" spans="8:21" x14ac:dyDescent="0.3">
      <c r="U60" t="s">
        <v>352</v>
      </c>
    </row>
    <row r="61" spans="8:21" x14ac:dyDescent="0.3">
      <c r="U61" t="s">
        <v>353</v>
      </c>
    </row>
    <row r="62" spans="8:21" x14ac:dyDescent="0.3">
      <c r="U62" t="s">
        <v>354</v>
      </c>
    </row>
    <row r="63" spans="8:21" x14ac:dyDescent="0.3">
      <c r="U63" t="s">
        <v>355</v>
      </c>
    </row>
    <row r="64" spans="8:21" x14ac:dyDescent="0.3">
      <c r="U64" t="s">
        <v>356</v>
      </c>
    </row>
    <row r="65" spans="21:21" x14ac:dyDescent="0.3">
      <c r="U65" t="s">
        <v>357</v>
      </c>
    </row>
    <row r="66" spans="21:21" x14ac:dyDescent="0.3">
      <c r="U66" t="s">
        <v>358</v>
      </c>
    </row>
    <row r="67" spans="21:21" x14ac:dyDescent="0.3">
      <c r="U67" t="s">
        <v>359</v>
      </c>
    </row>
    <row r="68" spans="21:21" x14ac:dyDescent="0.3">
      <c r="U68" t="s">
        <v>360</v>
      </c>
    </row>
    <row r="69" spans="21:21" x14ac:dyDescent="0.3">
      <c r="U69" t="s">
        <v>361</v>
      </c>
    </row>
    <row r="70" spans="21:21" x14ac:dyDescent="0.3">
      <c r="U70" t="s">
        <v>362</v>
      </c>
    </row>
    <row r="71" spans="21:21" x14ac:dyDescent="0.3">
      <c r="U71" t="s">
        <v>363</v>
      </c>
    </row>
    <row r="72" spans="21:21" x14ac:dyDescent="0.3">
      <c r="U72" t="s">
        <v>364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32</vt:i4>
      </vt:variant>
    </vt:vector>
  </HeadingPairs>
  <TitlesOfParts>
    <vt:vector size="46" baseType="lpstr">
      <vt:lpstr>Protocole</vt:lpstr>
      <vt:lpstr>Compte-rendu</vt:lpstr>
      <vt:lpstr>Observations et Qualité</vt:lpstr>
      <vt:lpstr>Evidence (0)</vt:lpstr>
      <vt:lpstr>Evidence (1)</vt:lpstr>
      <vt:lpstr>Evidence (2)</vt:lpstr>
      <vt:lpstr>Légendes</vt:lpstr>
      <vt:lpstr>Examen (0)</vt:lpstr>
      <vt:lpstr>Examen (1)</vt:lpstr>
      <vt:lpstr>Examen (2)</vt:lpstr>
      <vt:lpstr>Examen (3)</vt:lpstr>
      <vt:lpstr>Examen - data (1)</vt:lpstr>
      <vt:lpstr>Examen - norm (1)</vt:lpstr>
      <vt:lpstr>listes</vt:lpstr>
      <vt:lpstr>Cote</vt:lpstr>
      <vt:lpstr>Effet_sur_marche</vt:lpstr>
      <vt:lpstr>EMG_droit</vt:lpstr>
      <vt:lpstr>EMG_gauche</vt:lpstr>
      <vt:lpstr>Equipe</vt:lpstr>
      <vt:lpstr>Evidence</vt:lpstr>
      <vt:lpstr>Genre</vt:lpstr>
      <vt:lpstr>Groupe</vt:lpstr>
      <vt:lpstr>Liste_muscles</vt:lpstr>
      <vt:lpstr>Medecins</vt:lpstr>
      <vt:lpstr>Membre</vt:lpstr>
      <vt:lpstr>Modele</vt:lpstr>
      <vt:lpstr>Motif</vt:lpstr>
      <vt:lpstr>Operateurs</vt:lpstr>
      <vt:lpstr>Oui_non</vt:lpstr>
      <vt:lpstr>Pathologie</vt:lpstr>
      <vt:lpstr>Plateformes</vt:lpstr>
      <vt:lpstr>Sensibilte</vt:lpstr>
      <vt:lpstr>Systeme</vt:lpstr>
      <vt:lpstr>Terrain_de_marche</vt:lpstr>
      <vt:lpstr>Type_accident</vt:lpstr>
      <vt:lpstr>Type_pathologie</vt:lpstr>
      <vt:lpstr>'Compte-rendu'!Zone_d_impression</vt:lpstr>
      <vt:lpstr>'Evidence (0)'!Zone_d_impression</vt:lpstr>
      <vt:lpstr>'Evidence (1)'!Zone_d_impression</vt:lpstr>
      <vt:lpstr>'Evidence (2)'!Zone_d_impression</vt:lpstr>
      <vt:lpstr>'Examen (0)'!Zone_d_impression</vt:lpstr>
      <vt:lpstr>'Examen (1)'!Zone_d_impression</vt:lpstr>
      <vt:lpstr>'Examen (2)'!Zone_d_impression</vt:lpstr>
      <vt:lpstr>'Examen (3)'!Zone_d_impression</vt:lpstr>
      <vt:lpstr>Légendes!Zone_d_impression</vt:lpstr>
      <vt:lpstr>'Observations et Qualité'!Zone_d_impression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Moissenet Florent</dc:creator>
  <cp:lastModifiedBy>Moissenet Florent</cp:lastModifiedBy>
  <cp:lastPrinted>2018-05-03T10:43:01Z</cp:lastPrinted>
  <dcterms:created xsi:type="dcterms:W3CDTF">2017-11-28T07:32:02Z</dcterms:created>
  <dcterms:modified xsi:type="dcterms:W3CDTF">2019-02-19T10:12:46Z</dcterms:modified>
</cp:coreProperties>
</file>