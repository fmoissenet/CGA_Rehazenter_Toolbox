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florent.moissenet\Documents\Professionnel\routines\github\CGA_Rehazenter_Toolbox\"/>
    </mc:Choice>
  </mc:AlternateContent>
  <bookViews>
    <workbookView xWindow="34788" yWindow="0" windowWidth="22104" windowHeight="9396" tabRatio="906" activeTab="8"/>
  </bookViews>
  <sheets>
    <sheet name="Protocole" sheetId="19" r:id="rId1"/>
    <sheet name="Compte-rendu" sheetId="1" r:id="rId2"/>
    <sheet name="Observations et Qualité" sheetId="4" r:id="rId3"/>
    <sheet name="Evidence (0)" sheetId="6" r:id="rId4"/>
    <sheet name="Evidence (1)" sheetId="24" r:id="rId5"/>
    <sheet name="Evidence (2)" sheetId="25" r:id="rId6"/>
    <sheet name="Légendes" sheetId="12" r:id="rId7"/>
    <sheet name="Examen (0)" sheetId="14" r:id="rId8"/>
    <sheet name="Examen (1)" sheetId="7" r:id="rId9"/>
    <sheet name="Examen (2)" sheetId="26" r:id="rId10"/>
    <sheet name="Examen (3)" sheetId="27" r:id="rId11"/>
    <sheet name="Examen - data (1)" sheetId="10" r:id="rId12"/>
    <sheet name="Examen - norm (1)" sheetId="13" r:id="rId13"/>
    <sheet name="listes" sheetId="2" r:id="rId14"/>
  </sheets>
  <definedNames>
    <definedName name="Cote">listes!$S$2:$S$5</definedName>
    <definedName name="Effet_sur_marche">listes!$B$2:$B$4</definedName>
    <definedName name="EMG_droit">listes!$H$2:$H$52</definedName>
    <definedName name="EMG_gauche">listes!$J$2:$J$52</definedName>
    <definedName name="Equipe">listes!$M$2:$M$9</definedName>
    <definedName name="Evidence">listes!$A$2:$A$4</definedName>
    <definedName name="Genre">listes!$E$2:$E$3</definedName>
    <definedName name="Groupe">listes!$C$2:$C$8</definedName>
    <definedName name="Liste_muscles">listes!$U$2:$U$72</definedName>
    <definedName name="Medecins">listes!$M$2:$M$4</definedName>
    <definedName name="Membre">listes!$T$2:$T$5</definedName>
    <definedName name="Modele">listes!$F$2:$F$7</definedName>
    <definedName name="Motif">listes!$O$2:$O$8</definedName>
    <definedName name="Operateurs">listes!$N$2:$N$6</definedName>
    <definedName name="Oui_non">listes!$W$2:$W$3</definedName>
    <definedName name="Pathologie">listes!$P$2:$P$31</definedName>
    <definedName name="Plateformes">listes!$K$2:$K$4</definedName>
    <definedName name="Sensibilte">listes!$D$2:$D$4</definedName>
    <definedName name="Systeme">listes!$L$2:$L$3</definedName>
    <definedName name="Terrain_de_marche">listes!$G$2:$G$3</definedName>
    <definedName name="Type_accident">listes!$R$2:$R$4</definedName>
    <definedName name="Type_pathologie">listes!$Q$2:$Q$4</definedName>
    <definedName name="_xlnm.Print_Area" localSheetId="1">'Compte-rendu'!$A$1:$H$30</definedName>
    <definedName name="_xlnm.Print_Area" localSheetId="3">'Evidence (0)'!$A$1:$H$53</definedName>
    <definedName name="_xlnm.Print_Area" localSheetId="4">'Evidence (1)'!$A$1:$H$53</definedName>
    <definedName name="_xlnm.Print_Area" localSheetId="5">'Evidence (2)'!$A$1:$H$53</definedName>
    <definedName name="_xlnm.Print_Area" localSheetId="7">'Examen (0)'!$A$1:$K$97</definedName>
    <definedName name="_xlnm.Print_Area" localSheetId="8">'Examen (1)'!$A$1:$I$49</definedName>
    <definedName name="_xlnm.Print_Area" localSheetId="9">'Examen (2)'!$A$1:$I$49</definedName>
    <definedName name="_xlnm.Print_Area" localSheetId="10">'Examen (3)'!$A$1:$I$49</definedName>
    <definedName name="_xlnm.Print_Area" localSheetId="6">Légendes!$A$1:$H$41</definedName>
    <definedName name="_xlnm.Print_Area" localSheetId="2">'Observations et Qualité'!$A$1:$H$27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4" i="1" l="1"/>
  <c r="G24" i="1"/>
  <c r="H23" i="1"/>
  <c r="G23" i="1"/>
  <c r="H21" i="1"/>
  <c r="G21" i="1"/>
  <c r="B24" i="1"/>
  <c r="B22" i="1"/>
  <c r="B23" i="1"/>
  <c r="B21" i="1"/>
  <c r="B20" i="1" l="1"/>
  <c r="B19" i="1"/>
  <c r="H20" i="1"/>
  <c r="G20" i="1"/>
  <c r="H19" i="1"/>
  <c r="G19" i="1"/>
  <c r="H5" i="4"/>
  <c r="H6" i="4"/>
  <c r="H7" i="4"/>
  <c r="H8" i="4"/>
  <c r="H9" i="4"/>
  <c r="H4" i="4"/>
  <c r="C5" i="4"/>
  <c r="C6" i="4"/>
  <c r="C7" i="4"/>
  <c r="C8" i="4"/>
  <c r="C9" i="4"/>
  <c r="C4" i="4"/>
  <c r="C6" i="1"/>
  <c r="C12" i="4"/>
  <c r="C11" i="4"/>
  <c r="C5" i="1"/>
  <c r="C10" i="1"/>
  <c r="C11" i="1"/>
  <c r="C12" i="1"/>
  <c r="C13" i="1"/>
  <c r="C9" i="1"/>
  <c r="C3" i="1"/>
  <c r="C4" i="1"/>
  <c r="C2" i="1"/>
  <c r="C13" i="4" l="1"/>
  <c r="J33" i="14"/>
  <c r="H33" i="14"/>
</calcChain>
</file>

<file path=xl/sharedStrings.xml><?xml version="1.0" encoding="utf-8"?>
<sst xmlns="http://schemas.openxmlformats.org/spreadsheetml/2006/main" count="1025" uniqueCount="521">
  <si>
    <t>Date</t>
  </si>
  <si>
    <t>Médecin</t>
  </si>
  <si>
    <t>Type</t>
  </si>
  <si>
    <t>Observations</t>
  </si>
  <si>
    <t>Patient</t>
  </si>
  <si>
    <t>Nom</t>
  </si>
  <si>
    <t>Prénom</t>
  </si>
  <si>
    <t>Genre</t>
  </si>
  <si>
    <t>Commentaires</t>
  </si>
  <si>
    <t>Examen</t>
  </si>
  <si>
    <t>Opérateur</t>
  </si>
  <si>
    <t>Motif</t>
  </si>
  <si>
    <t>Compte-rendu de l'examen</t>
  </si>
  <si>
    <t>Les déficits affectant le plus la marche du patient sont :</t>
  </si>
  <si>
    <t>Age</t>
  </si>
  <si>
    <t>Evidence</t>
  </si>
  <si>
    <t>Effet sur la marche</t>
  </si>
  <si>
    <t>Diagnostic</t>
  </si>
  <si>
    <t>Possible</t>
  </si>
  <si>
    <t>Probable</t>
  </si>
  <si>
    <t>Mineur</t>
  </si>
  <si>
    <t>Modéré</t>
  </si>
  <si>
    <t>Majeur</t>
  </si>
  <si>
    <t>Autres commentaires :</t>
  </si>
  <si>
    <t>Remarques sur la suite du rapport :</t>
  </si>
  <si>
    <t>Motivation détaillée</t>
  </si>
  <si>
    <t>Certain</t>
  </si>
  <si>
    <t>Précédentes interventions</t>
  </si>
  <si>
    <t>Date :</t>
  </si>
  <si>
    <r>
      <t xml:space="preserve">Longueur pas droit </t>
    </r>
    <r>
      <rPr>
        <sz val="9"/>
        <color theme="1"/>
        <rFont val="Arial"/>
        <family val="2"/>
      </rPr>
      <t>(cm)</t>
    </r>
  </si>
  <si>
    <r>
      <t xml:space="preserve">Longueur pas gauche </t>
    </r>
    <r>
      <rPr>
        <sz val="9"/>
        <color theme="1"/>
        <rFont val="Arial"/>
        <family val="2"/>
      </rPr>
      <t>(cm)</t>
    </r>
  </si>
  <si>
    <r>
      <t xml:space="preserve">Taille </t>
    </r>
    <r>
      <rPr>
        <sz val="9"/>
        <color theme="1"/>
        <rFont val="Arial"/>
        <family val="2"/>
      </rPr>
      <t>(cm)</t>
    </r>
  </si>
  <si>
    <r>
      <t xml:space="preserve">Poids </t>
    </r>
    <r>
      <rPr>
        <sz val="9"/>
        <color theme="1"/>
        <rFont val="Arial"/>
        <family val="2"/>
      </rPr>
      <t>(kg)</t>
    </r>
  </si>
  <si>
    <r>
      <rPr>
        <b/>
        <sz val="11"/>
        <color theme="1"/>
        <rFont val="Arial"/>
        <family val="2"/>
      </rPr>
      <t>Groupe</t>
    </r>
    <r>
      <rPr>
        <sz val="11"/>
        <color theme="1"/>
        <rFont val="Arial"/>
        <family val="2"/>
      </rPr>
      <t xml:space="preserve"> </t>
    </r>
    <r>
      <rPr>
        <sz val="9"/>
        <color theme="1"/>
        <rFont val="Arial"/>
        <family val="2"/>
      </rPr>
      <t>(AVC)</t>
    </r>
  </si>
  <si>
    <t>Analyse observationnelle de la marche</t>
  </si>
  <si>
    <t>Qualité</t>
  </si>
  <si>
    <t>Est-ce que les données produites sont représentatives de la marche naturelle du patient?</t>
  </si>
  <si>
    <t>Il y a-t-il des remarques à apporter quant aux données produites?</t>
  </si>
  <si>
    <t>Existe-t-il des éléments suggérant la présence d'offset ou d'artefacts de tissous mous importants?</t>
  </si>
  <si>
    <t>Déficit</t>
  </si>
  <si>
    <t>Déficit :</t>
  </si>
  <si>
    <t>Evidence :</t>
  </si>
  <si>
    <t>Impact :</t>
  </si>
  <si>
    <t>Impact</t>
  </si>
  <si>
    <t>Code</t>
  </si>
  <si>
    <t>Anomalie</t>
  </si>
  <si>
    <t>Eléments de preuve - Electromyographie</t>
  </si>
  <si>
    <t>Eléments de preuve - Cinématique / Cinétique</t>
  </si>
  <si>
    <t>Eléments de preuve - Examen clinique</t>
  </si>
  <si>
    <t>Gauche</t>
  </si>
  <si>
    <t>Droite</t>
  </si>
  <si>
    <t>Eléments de preuve - Autres</t>
  </si>
  <si>
    <t>Information</t>
  </si>
  <si>
    <t>Groupe</t>
  </si>
  <si>
    <t>Ia</t>
  </si>
  <si>
    <t>Ib</t>
  </si>
  <si>
    <t>IIa</t>
  </si>
  <si>
    <t>IIb</t>
  </si>
  <si>
    <t>IIIa</t>
  </si>
  <si>
    <t>IIIb</t>
  </si>
  <si>
    <t>NA</t>
  </si>
  <si>
    <r>
      <t xml:space="preserve">Vitesse de marche </t>
    </r>
    <r>
      <rPr>
        <sz val="9"/>
        <color theme="1"/>
        <rFont val="Arial"/>
        <family val="2"/>
      </rPr>
      <t>(m / s)</t>
    </r>
  </si>
  <si>
    <r>
      <t xml:space="preserve">Cadence </t>
    </r>
    <r>
      <rPr>
        <sz val="9"/>
        <color theme="1"/>
        <rFont val="Arial"/>
        <family val="2"/>
      </rPr>
      <t>(pas / min)</t>
    </r>
  </si>
  <si>
    <t>Temps</t>
  </si>
  <si>
    <t>Anteversion (+) / Retroversion (-)</t>
  </si>
  <si>
    <t>Bassin</t>
  </si>
  <si>
    <t>Evolution de la marche</t>
  </si>
  <si>
    <r>
      <t xml:space="preserve">Bassin 
</t>
    </r>
    <r>
      <rPr>
        <i/>
        <sz val="8"/>
        <color theme="1"/>
        <rFont val="Arial"/>
        <family val="2"/>
      </rPr>
      <t>(cinématique segmentaire)</t>
    </r>
  </si>
  <si>
    <r>
      <t xml:space="preserve">Hanche
</t>
    </r>
    <r>
      <rPr>
        <i/>
        <sz val="8"/>
        <color theme="1"/>
        <rFont val="Arial"/>
        <family val="2"/>
      </rPr>
      <t>(cinématique articulaire)</t>
    </r>
  </si>
  <si>
    <r>
      <t xml:space="preserve">Genou
</t>
    </r>
    <r>
      <rPr>
        <i/>
        <sz val="8"/>
        <color theme="1"/>
        <rFont val="Arial"/>
        <family val="2"/>
      </rPr>
      <t>(cinématique articulaire)</t>
    </r>
  </si>
  <si>
    <r>
      <t xml:space="preserve">Cheville
</t>
    </r>
    <r>
      <rPr>
        <i/>
        <sz val="8"/>
        <color theme="1"/>
        <rFont val="Arial"/>
        <family val="2"/>
      </rPr>
      <t>(cinématique articulaire)</t>
    </r>
  </si>
  <si>
    <r>
      <t xml:space="preserve">Pied
</t>
    </r>
    <r>
      <rPr>
        <i/>
        <sz val="8"/>
        <color theme="1"/>
        <rFont val="Arial"/>
        <family val="2"/>
      </rPr>
      <t>(cinématique segmentaire)</t>
    </r>
  </si>
  <si>
    <t>Tous les graphiques ci-dessus sont exprimés pour un cycle de marche (d'une pose du pied à la suite pour chaque côté). Les lignes verticales représentent la séparation entre la phase d'appui et la phase oscillante, pour chaque côté.</t>
  </si>
  <si>
    <t>Remarques :</t>
  </si>
  <si>
    <t>G</t>
  </si>
  <si>
    <t>D</t>
  </si>
  <si>
    <t>G+D</t>
  </si>
  <si>
    <t>Légendes</t>
  </si>
  <si>
    <t>Symboles employés sur les graphiques</t>
  </si>
  <si>
    <t>Augmentation</t>
  </si>
  <si>
    <t>(sur tout le cycle)</t>
  </si>
  <si>
    <t>Excès</t>
  </si>
  <si>
    <t>(sur une portion du cycle)</t>
  </si>
  <si>
    <t>Précoce</t>
  </si>
  <si>
    <t>Trop long</t>
  </si>
  <si>
    <t>Amplitude augmentée</t>
  </si>
  <si>
    <t>ou</t>
  </si>
  <si>
    <t>Dans les normes</t>
  </si>
  <si>
    <t>Artefact possible</t>
  </si>
  <si>
    <t>Autre anomalie</t>
  </si>
  <si>
    <t>Diminution</t>
  </si>
  <si>
    <t>Rotation (externe + / interne -)</t>
  </si>
  <si>
    <t>Inclinaison (élévation + / chute -)</t>
  </si>
  <si>
    <t>Genou</t>
  </si>
  <si>
    <t>Flexion (+) / Extension (-)</t>
  </si>
  <si>
    <t>Abduction (+) / Adduction (-)</t>
  </si>
  <si>
    <t>Rotation interne (+) / externe (-)</t>
  </si>
  <si>
    <t>Cheville</t>
  </si>
  <si>
    <t>Eversion (+) / Inversion (-)</t>
  </si>
  <si>
    <t>Hanche</t>
  </si>
  <si>
    <t>Pied</t>
  </si>
  <si>
    <t>Défaut</t>
  </si>
  <si>
    <t>Retard</t>
  </si>
  <si>
    <t>Amplitude diminuée</t>
  </si>
  <si>
    <t>Pente anormale</t>
  </si>
  <si>
    <t>Trop court</t>
  </si>
  <si>
    <t>La flèche pointe la courbe</t>
  </si>
  <si>
    <t>La flèche pointe l'anomalie</t>
  </si>
  <si>
    <t>Les flèches délimitent l'anomalie</t>
  </si>
  <si>
    <t>Aligner la pente avec l'anomalie</t>
  </si>
  <si>
    <t>A utiliser uniquement pour une raison particulière</t>
  </si>
  <si>
    <t>Encercle l'anomalie</t>
  </si>
  <si>
    <t>Echelles employées pour l'examen clinique</t>
  </si>
  <si>
    <t>Contraction non palpable ou non observable</t>
  </si>
  <si>
    <t>Contraction palpable ou observable mais pas de mouvement</t>
  </si>
  <si>
    <t>Mouvement possible dans une position sans gravité</t>
  </si>
  <si>
    <t>Mouvement contre gravité et légère résistance</t>
  </si>
  <si>
    <t>Mouvement contre gravité</t>
  </si>
  <si>
    <t>Force normale</t>
  </si>
  <si>
    <t>Normal</t>
  </si>
  <si>
    <t>Anomalie importante</t>
  </si>
  <si>
    <t>Anomalie légère</t>
  </si>
  <si>
    <t>1+</t>
  </si>
  <si>
    <t>Pas d'augmentation du tonus musculaire</t>
  </si>
  <si>
    <t>Légère augmentation du tonus (accroche ponctuelle)</t>
  </si>
  <si>
    <t>Résistance très nette et mouvement difficile</t>
  </si>
  <si>
    <t>Articulation rigide</t>
  </si>
  <si>
    <r>
      <rPr>
        <b/>
        <sz val="10"/>
        <color theme="1"/>
        <rFont val="Calibri"/>
        <family val="2"/>
        <scheme val="minor"/>
      </rPr>
      <t>Force</t>
    </r>
    <r>
      <rPr>
        <sz val="10"/>
        <color theme="1"/>
        <rFont val="Calibri"/>
        <family val="2"/>
        <scheme val="minor"/>
      </rPr>
      <t xml:space="preserve"> | Echelle MRC [1]</t>
    </r>
  </si>
  <si>
    <r>
      <rPr>
        <b/>
        <sz val="10"/>
        <color theme="1"/>
        <rFont val="Calibri"/>
        <family val="2"/>
        <scheme val="minor"/>
      </rPr>
      <t>Spasticité</t>
    </r>
    <r>
      <rPr>
        <sz val="10"/>
        <color theme="1"/>
        <rFont val="Calibri"/>
        <family val="2"/>
        <scheme val="minor"/>
      </rPr>
      <t xml:space="preserve"> | Echelle d'Ashworth modifiée [2]</t>
    </r>
  </si>
  <si>
    <r>
      <rPr>
        <b/>
        <sz val="10"/>
        <color theme="1"/>
        <rFont val="Calibri"/>
        <family val="2"/>
        <scheme val="minor"/>
      </rPr>
      <t>Spasticité</t>
    </r>
    <r>
      <rPr>
        <sz val="10"/>
        <color theme="1"/>
        <rFont val="Calibri"/>
        <family val="2"/>
        <scheme val="minor"/>
      </rPr>
      <t xml:space="preserve"> | Echelle de Tardieu [3]</t>
    </r>
  </si>
  <si>
    <r>
      <rPr>
        <b/>
        <sz val="10"/>
        <color theme="1"/>
        <rFont val="Calibri"/>
        <family val="2"/>
        <scheme val="minor"/>
      </rPr>
      <t>Sélectivité</t>
    </r>
    <r>
      <rPr>
        <sz val="10"/>
        <color theme="1"/>
        <rFont val="Calibri"/>
        <family val="2"/>
        <scheme val="minor"/>
      </rPr>
      <t xml:space="preserve"> | Boyd</t>
    </r>
  </si>
  <si>
    <r>
      <rPr>
        <b/>
        <sz val="10"/>
        <color theme="1"/>
        <rFont val="Calibri"/>
        <family val="2"/>
        <scheme val="minor"/>
      </rPr>
      <t>Sélectivité</t>
    </r>
    <r>
      <rPr>
        <sz val="10"/>
        <color theme="1"/>
        <rFont val="Calibri"/>
        <family val="2"/>
        <scheme val="minor"/>
      </rPr>
      <t xml:space="preserve"> | CMS</t>
    </r>
  </si>
  <si>
    <t>Pas de CMS, minime contraction</t>
  </si>
  <si>
    <t>0.5</t>
  </si>
  <si>
    <t>1.5</t>
  </si>
  <si>
    <t>Mauvais contrôle sélectif, commande dissociée, mouvement limité, cocontractions possibles</t>
  </si>
  <si>
    <t>CMS correct mais défaut de fluidité ou limitation dans le mouvement (cocontractions)</t>
  </si>
  <si>
    <t>CMS parfait, contraction et muscles appropriés</t>
  </si>
  <si>
    <t>Pas de mouvement (mvt)</t>
  </si>
  <si>
    <t>Mvt limité EDL et/ou EHL</t>
  </si>
  <si>
    <t>Mvt EDL/EHL et peu de TA</t>
  </si>
  <si>
    <t>Noter l'angle auquel l'accroche</t>
  </si>
  <si>
    <t>se fait sentir</t>
  </si>
  <si>
    <t>Confusion test</t>
  </si>
  <si>
    <t>Résistance plus marquée mais mvt facilement réalisable</t>
  </si>
  <si>
    <t>Légère augmentation du tonus
(accroche sur moins la moitié de l'amplitude)</t>
  </si>
  <si>
    <t>Contraction et mvt minimes et/ou bcp de cocontractions</t>
  </si>
  <si>
    <t>Aucun mouvement</t>
  </si>
  <si>
    <t>Mobilité limitée</t>
  </si>
  <si>
    <t>Mobilité normale
(neutre, inversion, eversion)</t>
  </si>
  <si>
    <t>Mvt complet surtout TA, CT +</t>
  </si>
  <si>
    <r>
      <rPr>
        <b/>
        <sz val="10"/>
        <color theme="1"/>
        <rFont val="Calibri"/>
        <family val="2"/>
        <scheme val="minor"/>
      </rPr>
      <t>Cotation</t>
    </r>
    <r>
      <rPr>
        <sz val="10"/>
        <color theme="1"/>
        <rFont val="Calibri"/>
        <family val="2"/>
        <scheme val="minor"/>
      </rPr>
      <t xml:space="preserve"> spécifique</t>
    </r>
  </si>
  <si>
    <t>HANCHE</t>
  </si>
  <si>
    <t>GENOU</t>
  </si>
  <si>
    <t>CHEVILLE</t>
  </si>
  <si>
    <t>PIED</t>
  </si>
  <si>
    <r>
      <t>Extension (Thomas, DD)</t>
    </r>
    <r>
      <rPr>
        <i/>
        <sz val="8"/>
        <rFont val="Calibri"/>
        <family val="2"/>
      </rPr>
      <t xml:space="preserve"> (° deg)</t>
    </r>
  </si>
  <si>
    <r>
      <t>Abduction (hanche 0°, genou 0°)</t>
    </r>
    <r>
      <rPr>
        <i/>
        <sz val="8"/>
        <rFont val="Calibri"/>
        <family val="2"/>
      </rPr>
      <t xml:space="preserve"> (° deg)</t>
    </r>
  </si>
  <si>
    <r>
      <t>Rotation Int|Ext (decubitus dorsal)</t>
    </r>
    <r>
      <rPr>
        <i/>
        <sz val="8"/>
        <rFont val="Calibri"/>
        <family val="2"/>
      </rPr>
      <t xml:space="preserve"> (° deg)</t>
    </r>
  </si>
  <si>
    <r>
      <t>Rotation Int|Ext (decubitus ventral)</t>
    </r>
    <r>
      <rPr>
        <i/>
        <sz val="8"/>
        <rFont val="Calibri"/>
        <family val="2"/>
      </rPr>
      <t xml:space="preserve"> (° deg)</t>
    </r>
  </si>
  <si>
    <r>
      <t xml:space="preserve">Anteversion fémorale </t>
    </r>
    <r>
      <rPr>
        <i/>
        <sz val="8"/>
        <rFont val="Calibri"/>
        <family val="2"/>
      </rPr>
      <t>(° deg)</t>
    </r>
  </si>
  <si>
    <r>
      <t>Force fléchisseurs (</t>
    </r>
    <r>
      <rPr>
        <i/>
        <sz val="8"/>
        <rFont val="Calibri"/>
        <family val="2"/>
      </rPr>
      <t>MRC | CMS)</t>
    </r>
  </si>
  <si>
    <r>
      <t>Force extenseurs (</t>
    </r>
    <r>
      <rPr>
        <i/>
        <sz val="8"/>
        <rFont val="Calibri"/>
        <family val="2"/>
      </rPr>
      <t>MRC | CMS)</t>
    </r>
  </si>
  <si>
    <r>
      <t>Force abducteurs (</t>
    </r>
    <r>
      <rPr>
        <i/>
        <sz val="8"/>
        <rFont val="Calibri"/>
        <family val="2"/>
      </rPr>
      <t>MRC | CMS)</t>
    </r>
  </si>
  <si>
    <r>
      <t>Spasticité adducteurs (</t>
    </r>
    <r>
      <rPr>
        <i/>
        <sz val="8"/>
        <rFont val="Calibri"/>
        <family val="2"/>
      </rPr>
      <t>Ashworth modifié | Tardieu °)</t>
    </r>
  </si>
  <si>
    <r>
      <t xml:space="preserve">Extension </t>
    </r>
    <r>
      <rPr>
        <i/>
        <sz val="8"/>
        <rFont val="Calibri"/>
        <family val="2"/>
      </rPr>
      <t>(° deg)</t>
    </r>
  </si>
  <si>
    <r>
      <rPr>
        <sz val="8"/>
        <rFont val="Calibri"/>
        <family val="2"/>
      </rPr>
      <t xml:space="preserve">Angle mort </t>
    </r>
    <r>
      <rPr>
        <i/>
        <sz val="8"/>
        <rFont val="Calibri"/>
        <family val="2"/>
      </rPr>
      <t>(° deg)</t>
    </r>
  </si>
  <si>
    <r>
      <rPr>
        <sz val="8"/>
        <rFont val="Calibri"/>
        <family val="2"/>
      </rPr>
      <t xml:space="preserve">Rotule haute </t>
    </r>
    <r>
      <rPr>
        <i/>
        <sz val="8"/>
        <rFont val="Calibri"/>
        <family val="2"/>
      </rPr>
      <t>(cm)</t>
    </r>
  </si>
  <si>
    <r>
      <t xml:space="preserve">Angle poplité unilatéral </t>
    </r>
    <r>
      <rPr>
        <i/>
        <sz val="8"/>
        <rFont val="Calibri"/>
        <family val="2"/>
      </rPr>
      <t>(° deg)</t>
    </r>
  </si>
  <si>
    <r>
      <t xml:space="preserve">Angle poplité bilatéral (pelvis à 0°) </t>
    </r>
    <r>
      <rPr>
        <i/>
        <sz val="8"/>
        <rFont val="Calibri"/>
        <family val="2"/>
      </rPr>
      <t>(° deg)</t>
    </r>
  </si>
  <si>
    <r>
      <t>Spasticité fléchisseurs (</t>
    </r>
    <r>
      <rPr>
        <i/>
        <sz val="8"/>
        <rFont val="Calibri"/>
        <family val="2"/>
      </rPr>
      <t>Ashworth modifié | Tardieu °)</t>
    </r>
  </si>
  <si>
    <r>
      <t>Spasticité extenseurs / Duncan E. (</t>
    </r>
    <r>
      <rPr>
        <i/>
        <sz val="8"/>
        <rFont val="Calibri"/>
        <family val="2"/>
      </rPr>
      <t>Ashworth modifié | Tardieu °)</t>
    </r>
  </si>
  <si>
    <r>
      <t>Dorsiflexion (genou 0°)</t>
    </r>
    <r>
      <rPr>
        <b/>
        <sz val="8"/>
        <rFont val="Calibri"/>
        <family val="2"/>
      </rPr>
      <t xml:space="preserve"> </t>
    </r>
    <r>
      <rPr>
        <i/>
        <sz val="8"/>
        <rFont val="Calibri"/>
        <family val="2"/>
      </rPr>
      <t xml:space="preserve">(° deg) </t>
    </r>
    <r>
      <rPr>
        <b/>
        <sz val="8"/>
        <rFont val="Calibri"/>
        <family val="2"/>
      </rPr>
      <t>(R1 de Boyd)</t>
    </r>
  </si>
  <si>
    <r>
      <t xml:space="preserve">Dorsiflexion (genou 90°) </t>
    </r>
    <r>
      <rPr>
        <i/>
        <sz val="8"/>
        <rFont val="Calibri"/>
        <family val="2"/>
      </rPr>
      <t>(° deg)</t>
    </r>
  </si>
  <si>
    <r>
      <t>Torsion tibiale</t>
    </r>
    <r>
      <rPr>
        <i/>
        <sz val="8"/>
        <rFont val="Calibri"/>
        <family val="2"/>
      </rPr>
      <t xml:space="preserve"> (° deg)</t>
    </r>
  </si>
  <si>
    <r>
      <t>Force tibialis anterior (</t>
    </r>
    <r>
      <rPr>
        <i/>
        <sz val="8"/>
        <rFont val="Calibri"/>
        <family val="2"/>
      </rPr>
      <t>MRC | Boyd)</t>
    </r>
  </si>
  <si>
    <r>
      <t>Force peroneus longus (</t>
    </r>
    <r>
      <rPr>
        <i/>
        <sz val="8"/>
        <rFont val="Calibri"/>
        <family val="2"/>
      </rPr>
      <t>MRC | CMS)</t>
    </r>
  </si>
  <si>
    <r>
      <t>Force tibialis posterior (</t>
    </r>
    <r>
      <rPr>
        <i/>
        <sz val="8"/>
        <rFont val="Calibri"/>
        <family val="2"/>
      </rPr>
      <t>MRC | CMS)</t>
    </r>
  </si>
  <si>
    <r>
      <t>Force gastroc-soleus (</t>
    </r>
    <r>
      <rPr>
        <i/>
        <sz val="8"/>
        <rFont val="Calibri"/>
        <family val="2"/>
      </rPr>
      <t>MRC | CMS)</t>
    </r>
  </si>
  <si>
    <r>
      <t>Spasticité gastroc-soleus (</t>
    </r>
    <r>
      <rPr>
        <i/>
        <sz val="8"/>
        <rFont val="Calibri"/>
        <family val="2"/>
      </rPr>
      <t xml:space="preserve">Ashworth mod | Tardieu (° deg) = </t>
    </r>
    <r>
      <rPr>
        <b/>
        <i/>
        <sz val="8"/>
        <rFont val="Calibri"/>
        <family val="2"/>
      </rPr>
      <t>R2</t>
    </r>
    <r>
      <rPr>
        <i/>
        <sz val="8"/>
        <rFont val="Calibri"/>
        <family val="2"/>
      </rPr>
      <t>)</t>
    </r>
  </si>
  <si>
    <r>
      <t xml:space="preserve">Spasticité gastroc-soleus : </t>
    </r>
    <r>
      <rPr>
        <i/>
        <sz val="8"/>
        <rFont val="Calibri"/>
        <family val="2"/>
      </rPr>
      <t>R1-R2 (° deg)</t>
    </r>
  </si>
  <si>
    <r>
      <t xml:space="preserve">Axe cruro-pédieux procubitus </t>
    </r>
    <r>
      <rPr>
        <i/>
        <sz val="8"/>
        <rFont val="Calibri"/>
        <family val="2"/>
      </rPr>
      <t>(° deg)</t>
    </r>
  </si>
  <si>
    <r>
      <t xml:space="preserve">VR|VG attitude spontanée </t>
    </r>
    <r>
      <rPr>
        <i/>
        <sz val="8"/>
        <rFont val="Calibri"/>
        <family val="2"/>
      </rPr>
      <t xml:space="preserve">(0, 1, 2) </t>
    </r>
  </si>
  <si>
    <r>
      <t xml:space="preserve">Adductus|Abductus avant-pied </t>
    </r>
    <r>
      <rPr>
        <i/>
        <sz val="8"/>
        <rFont val="Calibri"/>
        <family val="2"/>
      </rPr>
      <t>(° deg)</t>
    </r>
  </si>
  <si>
    <r>
      <t xml:space="preserve">Griffe passive </t>
    </r>
    <r>
      <rPr>
        <i/>
        <sz val="8"/>
        <rFont val="Calibri"/>
        <family val="2"/>
      </rPr>
      <t>(0: NON, 1: OUI)</t>
    </r>
  </si>
  <si>
    <r>
      <t xml:space="preserve">Griffe dynamique </t>
    </r>
    <r>
      <rPr>
        <i/>
        <sz val="8"/>
        <rFont val="Calibri"/>
        <family val="2"/>
      </rPr>
      <t>(0: NON, 1: OUI)</t>
    </r>
  </si>
  <si>
    <r>
      <t xml:space="preserve">Flexion </t>
    </r>
    <r>
      <rPr>
        <i/>
        <sz val="8"/>
        <rFont val="Calibri"/>
        <family val="2"/>
      </rPr>
      <t>(° deg)</t>
    </r>
  </si>
  <si>
    <r>
      <t xml:space="preserve">Extension (Staheli : DV, Genou à 0° ) IP seul </t>
    </r>
    <r>
      <rPr>
        <i/>
        <sz val="8"/>
        <rFont val="Calibri"/>
        <family val="2"/>
      </rPr>
      <t>(° deg)</t>
    </r>
  </si>
  <si>
    <r>
      <t xml:space="preserve">Extension (Staheli DV, Genou à 90°) IP + RF </t>
    </r>
    <r>
      <rPr>
        <i/>
        <sz val="8"/>
        <rFont val="Calibri"/>
        <family val="2"/>
      </rPr>
      <t>(° deg)</t>
    </r>
  </si>
  <si>
    <r>
      <t>Abduction  (Flex-H / Flex-G) Add B</t>
    </r>
    <r>
      <rPr>
        <i/>
        <sz val="8"/>
        <rFont val="Calibri"/>
        <family val="2"/>
      </rPr>
      <t xml:space="preserve"> (° deg)</t>
    </r>
  </si>
  <si>
    <r>
      <t>Abduction (Ext-H / Flex-G) Add B+L</t>
    </r>
    <r>
      <rPr>
        <i/>
        <sz val="8"/>
        <rFont val="Calibri"/>
        <family val="2"/>
      </rPr>
      <t xml:space="preserve"> (° deg)</t>
    </r>
  </si>
  <si>
    <r>
      <t xml:space="preserve">Adduction </t>
    </r>
    <r>
      <rPr>
        <i/>
        <sz val="8"/>
        <rFont val="Calibri"/>
        <family val="2"/>
      </rPr>
      <t>(° deg)</t>
    </r>
  </si>
  <si>
    <r>
      <t>Force adducteurs (</t>
    </r>
    <r>
      <rPr>
        <i/>
        <sz val="8"/>
        <rFont val="Calibri"/>
        <family val="2"/>
      </rPr>
      <t>MRC | CMS)</t>
    </r>
  </si>
  <si>
    <r>
      <t>Force rotateurs internes (</t>
    </r>
    <r>
      <rPr>
        <i/>
        <sz val="8"/>
        <rFont val="Calibri"/>
        <family val="2"/>
      </rPr>
      <t>MRC | CMS)</t>
    </r>
  </si>
  <si>
    <r>
      <t>Force rotateurs externes (</t>
    </r>
    <r>
      <rPr>
        <i/>
        <sz val="8"/>
        <rFont val="Calibri"/>
        <family val="2"/>
      </rPr>
      <t>MRC | CMS)</t>
    </r>
  </si>
  <si>
    <r>
      <t>Spasticité abducteurs (</t>
    </r>
    <r>
      <rPr>
        <i/>
        <sz val="8"/>
        <rFont val="Calibri"/>
        <family val="2"/>
      </rPr>
      <t>Ashworth modifié | Tardieu °)</t>
    </r>
  </si>
  <si>
    <r>
      <t>Spasticité rotateurs internes (</t>
    </r>
    <r>
      <rPr>
        <i/>
        <sz val="8"/>
        <rFont val="Calibri"/>
        <family val="2"/>
      </rPr>
      <t>Ashworth modifié | Tardieu °)</t>
    </r>
  </si>
  <si>
    <r>
      <t>Spasticité rotateurs externes (</t>
    </r>
    <r>
      <rPr>
        <i/>
        <sz val="8"/>
        <rFont val="Calibri"/>
        <family val="2"/>
      </rPr>
      <t>Ashworth modifié | Tardieu °)</t>
    </r>
  </si>
  <si>
    <r>
      <t xml:space="preserve">Flexion plantaire </t>
    </r>
    <r>
      <rPr>
        <i/>
        <sz val="8"/>
        <rFont val="Calibri"/>
        <family val="2"/>
      </rPr>
      <t>(° deg)</t>
    </r>
  </si>
  <si>
    <r>
      <t>Flexion dorsale DD (Silverskold)</t>
    </r>
    <r>
      <rPr>
        <i/>
        <sz val="8"/>
        <rFont val="Calibri"/>
        <family val="2"/>
      </rPr>
      <t xml:space="preserve"> (° deg)</t>
    </r>
  </si>
  <si>
    <r>
      <t xml:space="preserve">Flexion dorsale max en charge (fente avant) </t>
    </r>
    <r>
      <rPr>
        <i/>
        <sz val="8"/>
        <rFont val="Calibri"/>
        <family val="2"/>
      </rPr>
      <t>(° deg)</t>
    </r>
  </si>
  <si>
    <r>
      <t>Force ext dig long (</t>
    </r>
    <r>
      <rPr>
        <i/>
        <sz val="8"/>
        <rFont val="Calibri"/>
        <family val="2"/>
      </rPr>
      <t>MRC | CMS)</t>
    </r>
  </si>
  <si>
    <r>
      <t>Force ext hall long (</t>
    </r>
    <r>
      <rPr>
        <i/>
        <sz val="8"/>
        <rFont val="Calibri"/>
        <family val="2"/>
      </rPr>
      <t>MRC | CMS)</t>
    </r>
  </si>
  <si>
    <r>
      <t>Force flex dig long (</t>
    </r>
    <r>
      <rPr>
        <i/>
        <sz val="8"/>
        <rFont val="Calibri"/>
        <family val="2"/>
      </rPr>
      <t>MRC</t>
    </r>
    <r>
      <rPr>
        <sz val="8"/>
        <rFont val="Calibri"/>
        <family val="2"/>
      </rPr>
      <t xml:space="preserve"> </t>
    </r>
    <r>
      <rPr>
        <i/>
        <sz val="8"/>
        <rFont val="Calibri"/>
        <family val="2"/>
      </rPr>
      <t>| CMS)</t>
    </r>
  </si>
  <si>
    <r>
      <t>Force flex hall long (</t>
    </r>
    <r>
      <rPr>
        <i/>
        <sz val="8"/>
        <rFont val="Calibri"/>
        <family val="2"/>
      </rPr>
      <t>MRC | CMS)</t>
    </r>
  </si>
  <si>
    <r>
      <t xml:space="preserve">Axe Bi-Malléolaire assis </t>
    </r>
    <r>
      <rPr>
        <i/>
        <sz val="8"/>
        <rFont val="Calibri"/>
        <family val="2"/>
      </rPr>
      <t>(° deg)</t>
    </r>
  </si>
  <si>
    <r>
      <t xml:space="preserve">VR|VG en charge </t>
    </r>
    <r>
      <rPr>
        <i/>
        <sz val="8"/>
        <rFont val="Calibri"/>
        <family val="2"/>
      </rPr>
      <t xml:space="preserve">(0, 1, 2) </t>
    </r>
  </si>
  <si>
    <r>
      <t>Dislocation médio-tarsienne</t>
    </r>
    <r>
      <rPr>
        <i/>
        <sz val="8"/>
        <rFont val="Calibri"/>
        <family val="2"/>
      </rPr>
      <t xml:space="preserve"> (0, 1, 2)</t>
    </r>
  </si>
  <si>
    <r>
      <t xml:space="preserve">Rétraction fléchisseurs orteils </t>
    </r>
    <r>
      <rPr>
        <i/>
        <sz val="8"/>
        <rFont val="Calibri"/>
        <family val="2"/>
      </rPr>
      <t>(0, 1, 2)</t>
    </r>
  </si>
  <si>
    <r>
      <t>Pied plat</t>
    </r>
    <r>
      <rPr>
        <i/>
        <sz val="8"/>
        <rFont val="Calibri"/>
        <family val="2"/>
      </rPr>
      <t xml:space="preserve"> (0, 1, 2)</t>
    </r>
  </si>
  <si>
    <r>
      <t xml:space="preserve">Pied cavus </t>
    </r>
    <r>
      <rPr>
        <i/>
        <sz val="8"/>
        <rFont val="Calibri"/>
        <family val="2"/>
      </rPr>
      <t>(0, 1, 2)</t>
    </r>
  </si>
  <si>
    <r>
      <t xml:space="preserve">Pied convexe </t>
    </r>
    <r>
      <rPr>
        <i/>
        <sz val="8"/>
        <rFont val="Calibri"/>
        <family val="2"/>
      </rPr>
      <t>(0, 1, 2)</t>
    </r>
  </si>
  <si>
    <r>
      <t>Hallux valgus</t>
    </r>
    <r>
      <rPr>
        <b/>
        <sz val="8"/>
        <rFont val="Calibri"/>
        <family val="2"/>
      </rPr>
      <t xml:space="preserve"> </t>
    </r>
    <r>
      <rPr>
        <i/>
        <sz val="8"/>
        <rFont val="Calibri"/>
        <family val="2"/>
      </rPr>
      <t>(0, 1, 2)</t>
    </r>
  </si>
  <si>
    <r>
      <t xml:space="preserve">Hallux flexus </t>
    </r>
    <r>
      <rPr>
        <i/>
        <sz val="8"/>
        <rFont val="Calibri"/>
        <family val="2"/>
      </rPr>
      <t>(0, 1, 2)</t>
    </r>
  </si>
  <si>
    <r>
      <t xml:space="preserve">Hallux rigidus </t>
    </r>
    <r>
      <rPr>
        <i/>
        <sz val="8"/>
        <rFont val="Calibri"/>
        <family val="2"/>
      </rPr>
      <t>(0, 1, 2)</t>
    </r>
  </si>
  <si>
    <t>Sensibilité</t>
  </si>
  <si>
    <t>Profonde</t>
  </si>
  <si>
    <t>Normale</t>
  </si>
  <si>
    <t>Superficielle</t>
  </si>
  <si>
    <t>Sensibilite</t>
  </si>
  <si>
    <t>Hypoesthesie</t>
  </si>
  <si>
    <t>Anesthesie</t>
  </si>
  <si>
    <t>Homme</t>
  </si>
  <si>
    <t>Modeles</t>
  </si>
  <si>
    <t>Terrain de marche</t>
  </si>
  <si>
    <t>EMG droit</t>
  </si>
  <si>
    <t>EMG gauche</t>
  </si>
  <si>
    <t>Forceplates</t>
  </si>
  <si>
    <t>Système</t>
  </si>
  <si>
    <t>Equipe</t>
  </si>
  <si>
    <t>Nom pathologie</t>
  </si>
  <si>
    <t>Type pathologie</t>
  </si>
  <si>
    <t>Type accident</t>
  </si>
  <si>
    <t>Cote affecte</t>
  </si>
  <si>
    <t>Membre affecte</t>
  </si>
  <si>
    <t>Liste muscles</t>
  </si>
  <si>
    <t>Oui/non</t>
  </si>
  <si>
    <t>Femme</t>
  </si>
  <si>
    <t>Piste de marche</t>
  </si>
  <si>
    <t>none</t>
  </si>
  <si>
    <t>Qualisys</t>
  </si>
  <si>
    <t>F. Chantraine</t>
  </si>
  <si>
    <t>Evaluation à titre diagnostique</t>
  </si>
  <si>
    <t>Hémiplégie</t>
  </si>
  <si>
    <t>Neurologique</t>
  </si>
  <si>
    <t>AVC ischémique</t>
  </si>
  <si>
    <t>Droit</t>
  </si>
  <si>
    <t>Inférieur</t>
  </si>
  <si>
    <t>Right gluteus maximus</t>
  </si>
  <si>
    <t>Oui</t>
  </si>
  <si>
    <t>Tapis de marche</t>
  </si>
  <si>
    <t>----------------------------------</t>
  </si>
  <si>
    <t>BTS</t>
  </si>
  <si>
    <t>E. Kolanowski</t>
  </si>
  <si>
    <t>Suivi longitudinal</t>
  </si>
  <si>
    <t>Monoplégie</t>
  </si>
  <si>
    <t>Orthopédique / Traumatologique</t>
  </si>
  <si>
    <t>AVC hémorragique</t>
  </si>
  <si>
    <t>Supérieur</t>
  </si>
  <si>
    <t>Right gluteus medius</t>
  </si>
  <si>
    <t>Non</t>
  </si>
  <si>
    <t>A. Remacle</t>
  </si>
  <si>
    <t>Bilan pré-thérapeutique</t>
  </si>
  <si>
    <t>Diplégie</t>
  </si>
  <si>
    <t>Aucune</t>
  </si>
  <si>
    <t>Autre</t>
  </si>
  <si>
    <t>Les deux</t>
  </si>
  <si>
    <t>Right gluteus minimus</t>
  </si>
  <si>
    <t>C. Schreiber</t>
  </si>
  <si>
    <t>Bilan post-thérapeutique</t>
  </si>
  <si>
    <t>Quadriplégie</t>
  </si>
  <si>
    <t>Aucun</t>
  </si>
  <si>
    <t>Right adductor longus</t>
  </si>
  <si>
    <t>F. Moissenet</t>
  </si>
  <si>
    <t>Etude clinique</t>
  </si>
  <si>
    <t>Triplégie</t>
  </si>
  <si>
    <t>Right adductor brevis</t>
  </si>
  <si>
    <t>G. Areno</t>
  </si>
  <si>
    <t>Expertise</t>
  </si>
  <si>
    <t>Paraplégie</t>
  </si>
  <si>
    <t>Right adductor magnus</t>
  </si>
  <si>
    <t>P. Filipetti</t>
  </si>
  <si>
    <t>Norme</t>
  </si>
  <si>
    <t>Tétraplégie</t>
  </si>
  <si>
    <t>Right pectineus</t>
  </si>
  <si>
    <t>A. Naaim</t>
  </si>
  <si>
    <t>Right illiacus</t>
  </si>
  <si>
    <t>SEP</t>
  </si>
  <si>
    <t>Right psoas</t>
  </si>
  <si>
    <t>Charcot-Marie</t>
  </si>
  <si>
    <t>Right quadratus femoris</t>
  </si>
  <si>
    <t>Guillain-Barré</t>
  </si>
  <si>
    <t>Right gemelli</t>
  </si>
  <si>
    <t>Strumpell-Lorrain</t>
  </si>
  <si>
    <t>Right piriformis</t>
  </si>
  <si>
    <t>Poliomyélite</t>
  </si>
  <si>
    <t>Right tensor fasica lata</t>
  </si>
  <si>
    <t>Myopathie</t>
  </si>
  <si>
    <t>Right gracilis</t>
  </si>
  <si>
    <t>Parkinson</t>
  </si>
  <si>
    <t>Right sartorius</t>
  </si>
  <si>
    <t>TC</t>
  </si>
  <si>
    <t>Right semimembranosus</t>
  </si>
  <si>
    <t>Right semitendinosus</t>
  </si>
  <si>
    <t>Torticolis spasmodique</t>
  </si>
  <si>
    <t>Right biceps femoris long head</t>
  </si>
  <si>
    <t>Dystonie cervicale</t>
  </si>
  <si>
    <t>Right biceps femoris short head</t>
  </si>
  <si>
    <t>Right rectus femoris</t>
  </si>
  <si>
    <t>Scoliose</t>
  </si>
  <si>
    <t>Right vastus medialis</t>
  </si>
  <si>
    <t>Sciatique</t>
  </si>
  <si>
    <t>Right vastus intermedialis</t>
  </si>
  <si>
    <t>PTH</t>
  </si>
  <si>
    <t>Right vastus lateralis</t>
  </si>
  <si>
    <t>PTG</t>
  </si>
  <si>
    <t>Right gastrocnemius medialis</t>
  </si>
  <si>
    <t>Right gastrocnemius lateralis</t>
  </si>
  <si>
    <t>Amputation trans-tibiale</t>
  </si>
  <si>
    <t>Right soleus</t>
  </si>
  <si>
    <t>Amputation trans-femorale</t>
  </si>
  <si>
    <t>Right tibialis posterior</t>
  </si>
  <si>
    <t>Right tibialis anterior</t>
  </si>
  <si>
    <t>Right peroneus brevis</t>
  </si>
  <si>
    <t>Right peroneus longus</t>
  </si>
  <si>
    <t>Right peroneus tertius</t>
  </si>
  <si>
    <t>Right extensor digitorum longus</t>
  </si>
  <si>
    <t>Right extensor hallucis longus</t>
  </si>
  <si>
    <t>Right flexor digitorum longus</t>
  </si>
  <si>
    <t>Right flexor hallucis longus</t>
  </si>
  <si>
    <t>Left gluteus maximus</t>
  </si>
  <si>
    <t>Left gluteus medius</t>
  </si>
  <si>
    <t>Left gluteus minimus</t>
  </si>
  <si>
    <t>Left adductor longus</t>
  </si>
  <si>
    <t>Left adductor brevis</t>
  </si>
  <si>
    <t>Left adductor magnus</t>
  </si>
  <si>
    <t>Left pectineus</t>
  </si>
  <si>
    <t>Left illiacus</t>
  </si>
  <si>
    <t>Left psoas</t>
  </si>
  <si>
    <t>Left quadratus femoris</t>
  </si>
  <si>
    <t>Left gemelli</t>
  </si>
  <si>
    <t>Left piriformis</t>
  </si>
  <si>
    <t>Left tensor fasica lata</t>
  </si>
  <si>
    <t>Left gracilis</t>
  </si>
  <si>
    <t>Left sartorius</t>
  </si>
  <si>
    <t>Left semimembranosus</t>
  </si>
  <si>
    <t>Left semitendinosus</t>
  </si>
  <si>
    <t>Left biceps femoris long head</t>
  </si>
  <si>
    <t>Left biceps femoris short head</t>
  </si>
  <si>
    <t>Left rectus femoris</t>
  </si>
  <si>
    <t>Left vastus medialis</t>
  </si>
  <si>
    <t>Left vastus intermedialis</t>
  </si>
  <si>
    <t>Left vastus lateralis</t>
  </si>
  <si>
    <t>Left gastrocnemius medialis</t>
  </si>
  <si>
    <t>Left gastrocnemius lateralis</t>
  </si>
  <si>
    <t>Left soleus</t>
  </si>
  <si>
    <t>Left tibialis posterior</t>
  </si>
  <si>
    <t>Left tibialis anterior</t>
  </si>
  <si>
    <t>Left peroneus brevis</t>
  </si>
  <si>
    <t>Left peroneus longus</t>
  </si>
  <si>
    <t>Left peroneus tertius</t>
  </si>
  <si>
    <t>Left extensor digitorum longus</t>
  </si>
  <si>
    <t>Left extensor hallucis longus</t>
  </si>
  <si>
    <t>Left flexor digitorum longus</t>
  </si>
  <si>
    <t>Left flexor hallucis longus</t>
  </si>
  <si>
    <t>Operateur</t>
  </si>
  <si>
    <t>Date de n.</t>
  </si>
  <si>
    <t>JJ/MM/AAAA</t>
  </si>
  <si>
    <r>
      <t xml:space="preserve">Poids </t>
    </r>
    <r>
      <rPr>
        <sz val="9"/>
        <rFont val="Arial"/>
        <family val="2"/>
      </rPr>
      <t>(kg)</t>
    </r>
  </si>
  <si>
    <r>
      <t>Taille</t>
    </r>
    <r>
      <rPr>
        <sz val="9"/>
        <rFont val="Arial"/>
        <family val="2"/>
      </rPr>
      <t xml:space="preserve"> (cm)</t>
    </r>
  </si>
  <si>
    <r>
      <t xml:space="preserve">IMC </t>
    </r>
    <r>
      <rPr>
        <sz val="9"/>
        <color theme="1"/>
        <rFont val="Arial"/>
        <family val="2"/>
      </rPr>
      <t>(kg / cm2)</t>
    </r>
  </si>
  <si>
    <t>Protocole</t>
  </si>
  <si>
    <t>Terrain</t>
  </si>
  <si>
    <t>Chaines cinématiques</t>
  </si>
  <si>
    <t>EMG</t>
  </si>
  <si>
    <r>
      <t xml:space="preserve">Membre sup. </t>
    </r>
    <r>
      <rPr>
        <sz val="9"/>
        <color theme="1"/>
        <rFont val="Arial"/>
        <family val="2"/>
      </rPr>
      <t>(Msup)</t>
    </r>
  </si>
  <si>
    <r>
      <t xml:space="preserve">Membre inf. </t>
    </r>
    <r>
      <rPr>
        <sz val="9"/>
        <color theme="1"/>
        <rFont val="Arial"/>
        <family val="2"/>
      </rPr>
      <t>(Minf)</t>
    </r>
  </si>
  <si>
    <r>
      <t xml:space="preserve">Tête/tronc </t>
    </r>
    <r>
      <rPr>
        <sz val="9"/>
        <color theme="1"/>
        <rFont val="Arial"/>
        <family val="2"/>
      </rPr>
      <t>(Mpost)</t>
    </r>
  </si>
  <si>
    <r>
      <t xml:space="preserve">Pied multisegm. </t>
    </r>
    <r>
      <rPr>
        <sz val="9"/>
        <color theme="1"/>
        <rFont val="Arial"/>
        <family val="2"/>
      </rPr>
      <t>(Mpied)</t>
    </r>
  </si>
  <si>
    <t>Acquisitions</t>
  </si>
  <si>
    <t>Condition</t>
  </si>
  <si>
    <t>Détails</t>
  </si>
  <si>
    <t>Minf</t>
  </si>
  <si>
    <t>Msup</t>
  </si>
  <si>
    <t>Mpost</t>
  </si>
  <si>
    <t>Mpied</t>
  </si>
  <si>
    <t>static01</t>
  </si>
  <si>
    <t>static02</t>
  </si>
  <si>
    <t>static03</t>
  </si>
  <si>
    <t>static04</t>
  </si>
  <si>
    <t>static05</t>
  </si>
  <si>
    <t>toutes conditions</t>
  </si>
  <si>
    <t>N-N-NNN-NN</t>
  </si>
  <si>
    <t>Reconstruction achevée</t>
  </si>
  <si>
    <t>Reconstruction à faire</t>
  </si>
  <si>
    <t>Pathologie</t>
  </si>
  <si>
    <t>D. de l'accident</t>
  </si>
  <si>
    <t>Type d'accident</t>
  </si>
  <si>
    <t>Côté affecté</t>
  </si>
  <si>
    <t>Traitement</t>
  </si>
  <si>
    <t>Divers</t>
  </si>
  <si>
    <t>Dév. Axe occipital</t>
  </si>
  <si>
    <t>Jambe droite (cm)</t>
  </si>
  <si>
    <t>Jambe gauche (cm)</t>
  </si>
  <si>
    <t>Supprimer le champ date si non applicable (NA)</t>
  </si>
  <si>
    <t>Paramètre</t>
  </si>
  <si>
    <t>Mvt complet, sélectif, sans CT</t>
  </si>
  <si>
    <r>
      <t xml:space="preserve">Au dessus ou au dessous de la courbe </t>
    </r>
    <r>
      <rPr>
        <i/>
        <sz val="8"/>
        <color theme="1"/>
        <rFont val="Calibri"/>
        <family val="2"/>
        <scheme val="minor"/>
      </rPr>
      <t>(suivant disponibilité)</t>
    </r>
  </si>
  <si>
    <r>
      <t xml:space="preserve">Au dessus ou au dessous de l'anomalie </t>
    </r>
    <r>
      <rPr>
        <i/>
        <sz val="8"/>
        <color theme="1"/>
        <rFont val="Calibri"/>
        <family val="2"/>
        <scheme val="minor"/>
      </rPr>
      <t>(suivant disponibilité)</t>
    </r>
  </si>
  <si>
    <t>Les pages qui suivent supportent l'évidence du compte-rendu fourni ci-dessus. Les sections Observations et Qualité contiennent des informations sur l'interprétation des données. Chaque déficit listé dans le compte-rendu est associé à un tableau reporté dans la section Evidence. Ce tableau apporte des éléments de preuve de l'importance de l'impact du déficit sur la marche. Les sections Examen et Comparaison complètent ce rapport et comportent l'examen clinique, les courbes issues de l'analyse quantifiée de la marche sur lesquelles les principales anomalies sont identifiées, pour l'examen présent et pour un jeu d'examens comparés, respectivement.</t>
  </si>
  <si>
    <t>Examen - Examen clinique                                                                                                1/2</t>
  </si>
  <si>
    <t>Examen - Examen clinique                                                                                                2/2</t>
  </si>
  <si>
    <t>Examen - Cinématique</t>
  </si>
  <si>
    <t>Examen - Cinétique</t>
  </si>
  <si>
    <t>Examen - Electromyographie</t>
  </si>
  <si>
    <t>trial01</t>
  </si>
  <si>
    <t>trial02</t>
  </si>
  <si>
    <t>trial03</t>
  </si>
  <si>
    <t>trial04</t>
  </si>
  <si>
    <t>trial05</t>
  </si>
  <si>
    <t>trial06</t>
  </si>
  <si>
    <t>trial07</t>
  </si>
  <si>
    <t>trial08</t>
  </si>
  <si>
    <t>trial09</t>
  </si>
  <si>
    <t>trial10</t>
  </si>
  <si>
    <t>trial11</t>
  </si>
  <si>
    <t>trial12</t>
  </si>
  <si>
    <t>trial13</t>
  </si>
  <si>
    <t>trial14</t>
  </si>
  <si>
    <t>trial15</t>
  </si>
  <si>
    <t>trial16</t>
  </si>
  <si>
    <t>trial17</t>
  </si>
  <si>
    <t>trial18</t>
  </si>
  <si>
    <t>trial19</t>
  </si>
  <si>
    <t>trial20</t>
  </si>
  <si>
    <t>trial21</t>
  </si>
  <si>
    <t>trial22</t>
  </si>
  <si>
    <t>trial23</t>
  </si>
  <si>
    <t>trial24</t>
  </si>
  <si>
    <t>trial25</t>
  </si>
  <si>
    <t>trial26</t>
  </si>
  <si>
    <t>trial27</t>
  </si>
  <si>
    <t>trial28</t>
  </si>
  <si>
    <t>trial29</t>
  </si>
  <si>
    <t>trial30</t>
  </si>
  <si>
    <t>trial31</t>
  </si>
  <si>
    <t>trial32</t>
  </si>
  <si>
    <t>trial33</t>
  </si>
  <si>
    <t>trial34</t>
  </si>
  <si>
    <t>trial35</t>
  </si>
  <si>
    <t>trial36</t>
  </si>
  <si>
    <t>trial37</t>
  </si>
  <si>
    <t>trial38</t>
  </si>
  <si>
    <t>trial39</t>
  </si>
  <si>
    <t>trial40</t>
  </si>
  <si>
    <t>trial41</t>
  </si>
  <si>
    <t>trial42</t>
  </si>
  <si>
    <t>trial43</t>
  </si>
  <si>
    <t>trial44</t>
  </si>
  <si>
    <t>trial45</t>
  </si>
  <si>
    <t>trial46</t>
  </si>
  <si>
    <t>trial47</t>
  </si>
  <si>
    <t>trial48</t>
  </si>
  <si>
    <t>trial49</t>
  </si>
  <si>
    <t>trial50</t>
  </si>
  <si>
    <t>trial51</t>
  </si>
  <si>
    <t>trial52</t>
  </si>
  <si>
    <t>trial53</t>
  </si>
  <si>
    <t>trial54</t>
  </si>
  <si>
    <t>trial55</t>
  </si>
  <si>
    <t>Aucun modèle</t>
  </si>
  <si>
    <t>Modèle complet</t>
  </si>
  <si>
    <t>Modèle simplifié</t>
  </si>
  <si>
    <t>Vidéo</t>
  </si>
  <si>
    <t>static06</t>
  </si>
  <si>
    <t>static07</t>
  </si>
  <si>
    <t>static08</t>
  </si>
  <si>
    <t>static09</t>
  </si>
  <si>
    <t>static10</t>
  </si>
  <si>
    <t>R_Tibialis_Anterior</t>
  </si>
  <si>
    <t>L_Tibialis_Anterior</t>
  </si>
  <si>
    <t>R_Soleus</t>
  </si>
  <si>
    <t>L_Soleus</t>
  </si>
  <si>
    <t>R_Gastrocnemius_Medialis</t>
  </si>
  <si>
    <t>L_Gastrocnemius_Medialis</t>
  </si>
  <si>
    <t>R_Vastus_Medialis</t>
  </si>
  <si>
    <t>L_Vastus_Medialis</t>
  </si>
  <si>
    <t>R_Rectus_Femoris</t>
  </si>
  <si>
    <t>L_Rectus_Femoris</t>
  </si>
  <si>
    <t>R_Semitendinosus</t>
  </si>
  <si>
    <t>L_Semitendinosus</t>
  </si>
  <si>
    <t>R_Gluteus_Maximus</t>
  </si>
  <si>
    <t>L_Gluteus_Maximus</t>
  </si>
  <si>
    <t>R_Gluteus_Medius</t>
  </si>
  <si>
    <t>L_Gluteus_Medius</t>
  </si>
  <si>
    <t>R_Peroneus_Longus</t>
  </si>
  <si>
    <t>L_Peroneus_Longus</t>
  </si>
  <si>
    <t>R_Semimembranosus</t>
  </si>
  <si>
    <t>L_Semimembranosus</t>
  </si>
  <si>
    <t>R_Adductors</t>
  </si>
  <si>
    <t>L_Adductors</t>
  </si>
  <si>
    <t>R_Sternocleidomastoidius</t>
  </si>
  <si>
    <t>L_Sternocleidomastoidius</t>
  </si>
  <si>
    <t>R_Trapezius</t>
  </si>
  <si>
    <t>L_Trapezius</t>
  </si>
  <si>
    <t>R_Splenius_Capitis</t>
  </si>
  <si>
    <t>L_Splenius_Capitis</t>
  </si>
  <si>
    <t>R_Leventor_Scapulae</t>
  </si>
  <si>
    <t>L_Leventor_Scapulae</t>
  </si>
  <si>
    <t>R_Ilio_Psoas_Wire</t>
  </si>
  <si>
    <t>L_Ilio_Psoas_Wire</t>
  </si>
  <si>
    <t>R_Tibialis_Posterior_Wire</t>
  </si>
  <si>
    <t>L_Tibialis_Posterior_Wire</t>
  </si>
  <si>
    <t>R_Rectus_Femoris_Wire</t>
  </si>
  <si>
    <t>L_Rectus_Femoris_Wire</t>
  </si>
  <si>
    <t>R_Vastus_Intermedius_Wire</t>
  </si>
  <si>
    <t>L_Vastus_Intermedius_Wire</t>
  </si>
  <si>
    <t>R_Vastus_Medialis_Wire</t>
  </si>
  <si>
    <t>L_Vastus_Medialis_Wire</t>
  </si>
  <si>
    <t>R_Vastus_Lateralis_Wire</t>
  </si>
  <si>
    <t>L_Vastus_Lateralis_Wire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</si>
</sst>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37" x14ac:knownFonts="1">
    <font>
      <sz val="11"/>
      <color theme="1"/>
      <name val="Calibri"/>
      <family val="2"/>
      <scheme val="minor"/>
    </font>
    <font>
      <b/>
      <sz val="11"/>
      <color theme="1"/>
      <name val="Calibri"/>
      <family val="2"/>
      <scheme val="minor"/>
    </font>
    <font>
      <sz val="11"/>
      <color theme="1"/>
      <name val="Arial"/>
      <family val="2"/>
    </font>
    <font>
      <i/>
      <sz val="11"/>
      <color theme="1"/>
      <name val="Arial"/>
      <family val="2"/>
    </font>
    <font>
      <b/>
      <sz val="11"/>
      <color theme="1"/>
      <name val="Arial"/>
      <family val="2"/>
    </font>
    <font>
      <b/>
      <sz val="11"/>
      <name val="Arial"/>
      <family val="2"/>
    </font>
    <font>
      <sz val="11"/>
      <name val="Arial"/>
      <family val="2"/>
    </font>
    <font>
      <b/>
      <i/>
      <sz val="11"/>
      <color theme="1"/>
      <name val="Arial"/>
      <family val="2"/>
    </font>
    <font>
      <b/>
      <i/>
      <sz val="9"/>
      <color theme="0" tint="-0.34998626667073579"/>
      <name val="Arial"/>
      <family val="2"/>
    </font>
    <font>
      <i/>
      <sz val="9"/>
      <color theme="0" tint="-0.34998626667073579"/>
      <name val="Arial"/>
      <family val="2"/>
    </font>
    <font>
      <sz val="9"/>
      <color theme="1"/>
      <name val="Arial"/>
      <family val="2"/>
    </font>
    <font>
      <sz val="11"/>
      <color theme="1"/>
      <name val="Calibri"/>
      <family val="2"/>
    </font>
    <font>
      <i/>
      <sz val="8"/>
      <color theme="1"/>
      <name val="Arial"/>
      <family val="2"/>
    </font>
    <font>
      <i/>
      <sz val="8"/>
      <color theme="0" tint="-0.34998626667073579"/>
      <name val="Arial"/>
      <family val="2"/>
    </font>
    <font>
      <b/>
      <i/>
      <sz val="8"/>
      <color theme="0" tint="-0.34998626667073579"/>
      <name val="Arial"/>
      <family val="2"/>
    </font>
    <font>
      <sz val="11"/>
      <color rgb="FF0000C0"/>
      <name val="Arial"/>
      <family val="2"/>
    </font>
    <font>
      <sz val="11"/>
      <color rgb="FF0000C0"/>
      <name val="Calibri"/>
      <family val="2"/>
    </font>
    <font>
      <b/>
      <sz val="10"/>
      <color theme="1"/>
      <name val="Arial"/>
      <family val="2"/>
    </font>
    <font>
      <sz val="10"/>
      <color theme="1"/>
      <name val="Calibri"/>
      <family val="2"/>
      <scheme val="minor"/>
    </font>
    <font>
      <b/>
      <sz val="10"/>
      <color theme="1"/>
      <name val="Calibri"/>
      <family val="2"/>
      <scheme val="minor"/>
    </font>
    <font>
      <i/>
      <sz val="10"/>
      <color theme="1"/>
      <name val="Calibri"/>
      <family val="2"/>
      <scheme val="minor"/>
    </font>
    <font>
      <sz val="10"/>
      <name val="Arial"/>
      <family val="2"/>
    </font>
    <font>
      <b/>
      <sz val="8"/>
      <color rgb="FF000000"/>
      <name val="Calibri"/>
      <family val="2"/>
    </font>
    <font>
      <sz val="8"/>
      <name val="Calibri"/>
      <family val="2"/>
    </font>
    <font>
      <i/>
      <sz val="8"/>
      <name val="Calibri"/>
      <family val="2"/>
    </font>
    <font>
      <sz val="8"/>
      <color rgb="FF000000"/>
      <name val="Calibri"/>
      <family val="2"/>
    </font>
    <font>
      <b/>
      <sz val="8"/>
      <name val="Calibri"/>
      <family val="2"/>
    </font>
    <font>
      <b/>
      <i/>
      <sz val="8"/>
      <name val="Calibri"/>
      <family val="2"/>
    </font>
    <font>
      <b/>
      <sz val="8"/>
      <color theme="1"/>
      <name val="Calibri"/>
      <family val="2"/>
      <scheme val="minor"/>
    </font>
    <font>
      <sz val="8"/>
      <color theme="1"/>
      <name val="Calibri"/>
      <family val="2"/>
      <scheme val="minor"/>
    </font>
    <font>
      <b/>
      <i/>
      <sz val="11"/>
      <color theme="1"/>
      <name val="Calibri"/>
      <family val="2"/>
      <scheme val="minor"/>
    </font>
    <font>
      <sz val="9"/>
      <name val="Arial"/>
      <family val="2"/>
    </font>
    <font>
      <b/>
      <i/>
      <sz val="11"/>
      <color rgb="FF000000"/>
      <name val="Arial"/>
      <family val="2"/>
    </font>
    <font>
      <b/>
      <i/>
      <sz val="10"/>
      <color rgb="FF000000"/>
      <name val="Arial"/>
      <family val="2"/>
    </font>
    <font>
      <sz val="11"/>
      <color rgb="FF000000"/>
      <name val="Calibri"/>
      <family val="2"/>
    </font>
    <font>
      <i/>
      <sz val="8"/>
      <color theme="1"/>
      <name val="Calibri"/>
      <family val="2"/>
      <scheme val="minor"/>
    </font>
    <font>
      <i/>
      <sz val="9"/>
      <color theme="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BFBFBF"/>
        <bgColor rgb="FF000000"/>
      </patternFill>
    </fill>
    <fill>
      <patternFill patternType="solid">
        <fgColor rgb="FFFCD5B4"/>
        <bgColor rgb="FF000000"/>
      </patternFill>
    </fill>
    <fill>
      <patternFill patternType="solid">
        <fgColor rgb="FFCCC0DA"/>
        <bgColor rgb="FF000000"/>
      </patternFill>
    </fill>
    <fill>
      <patternFill patternType="solid">
        <fgColor rgb="FFD8E4BC"/>
        <bgColor rgb="FF000000"/>
      </patternFill>
    </fill>
    <fill>
      <patternFill patternType="solid">
        <fgColor rgb="FFB7DEE8"/>
        <bgColor rgb="FF000000"/>
      </patternFill>
    </fill>
    <fill>
      <patternFill patternType="solid">
        <fgColor rgb="FFF8AB6C"/>
        <bgColor rgb="FF000000"/>
      </patternFill>
    </fill>
    <fill>
      <patternFill patternType="solid">
        <fgColor rgb="FFF79646"/>
        <bgColor rgb="FF000000"/>
      </patternFill>
    </fill>
    <fill>
      <patternFill patternType="solid">
        <fgColor rgb="FFD9D9D9"/>
        <bgColor rgb="FF000000"/>
      </patternFill>
    </fill>
    <fill>
      <patternFill patternType="solid">
        <fgColor rgb="FF9BBB59"/>
        <bgColor rgb="FF000000"/>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bottom style="thick">
        <color indexed="64"/>
      </bottom>
      <diagonal/>
    </border>
    <border>
      <left/>
      <right/>
      <top style="thick">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thin">
        <color indexed="64"/>
      </right>
      <top/>
      <bottom/>
      <diagonal/>
    </border>
  </borders>
  <cellStyleXfs count="2">
    <xf numFmtId="0" fontId="0" fillId="0" borderId="0"/>
    <xf numFmtId="0" fontId="21" fillId="0" borderId="0"/>
  </cellStyleXfs>
  <cellXfs count="458">
    <xf numFmtId="0" fontId="0" fillId="0" borderId="0" xfId="0"/>
    <xf numFmtId="0" fontId="2" fillId="0" borderId="0" xfId="0" applyFont="1"/>
    <xf numFmtId="0" fontId="2" fillId="0" borderId="0" xfId="0" applyFont="1" applyBorder="1"/>
    <xf numFmtId="0" fontId="1" fillId="0" borderId="0" xfId="0" applyFont="1"/>
    <xf numFmtId="0" fontId="4" fillId="0" borderId="1" xfId="0" applyFont="1" applyBorder="1" applyAlignment="1">
      <alignment horizontal="left" vertical="top"/>
    </xf>
    <xf numFmtId="0" fontId="2" fillId="0" borderId="1" xfId="0" applyFont="1" applyBorder="1"/>
    <xf numFmtId="0" fontId="8" fillId="0" borderId="0" xfId="0" applyFont="1"/>
    <xf numFmtId="0" fontId="9" fillId="0" borderId="0" xfId="0" applyFont="1"/>
    <xf numFmtId="0" fontId="5" fillId="0" borderId="1" xfId="0" applyFont="1" applyBorder="1" applyAlignment="1">
      <alignment horizontal="left" vertical="top" wrapText="1"/>
    </xf>
    <xf numFmtId="0" fontId="4" fillId="0" borderId="1" xfId="0" applyFont="1" applyBorder="1"/>
    <xf numFmtId="0" fontId="5" fillId="0" borderId="0" xfId="0" applyFont="1" applyFill="1" applyBorder="1"/>
    <xf numFmtId="0" fontId="6" fillId="0" borderId="0" xfId="0" applyFont="1" applyFill="1" applyBorder="1"/>
    <xf numFmtId="0" fontId="6" fillId="0" borderId="0" xfId="0" applyFont="1" applyFill="1" applyBorder="1" applyAlignment="1">
      <alignment horizontal="left" vertical="top"/>
    </xf>
    <xf numFmtId="0" fontId="14" fillId="0" borderId="0" xfId="0" applyFont="1"/>
    <xf numFmtId="0" fontId="4" fillId="0" borderId="0" xfId="0" applyFont="1"/>
    <xf numFmtId="0" fontId="2" fillId="0" borderId="0" xfId="0" applyFont="1" applyAlignment="1">
      <alignment vertical="center" textRotation="90" wrapText="1"/>
    </xf>
    <xf numFmtId="0" fontId="18" fillId="0" borderId="0" xfId="0" applyFont="1" applyBorder="1" applyAlignment="1">
      <alignment vertical="center" wrapText="1"/>
    </xf>
    <xf numFmtId="0" fontId="17" fillId="0" borderId="0" xfId="0" applyFont="1" applyAlignment="1" applyProtection="1">
      <alignment horizontal="center"/>
      <protection locked="0"/>
    </xf>
    <xf numFmtId="0" fontId="2" fillId="0" borderId="0" xfId="0" applyFont="1" applyAlignment="1" applyProtection="1">
      <alignment horizontal="center"/>
      <protection locked="0"/>
    </xf>
    <xf numFmtId="0" fontId="15" fillId="0" borderId="0" xfId="0" applyFont="1" applyAlignment="1" applyProtection="1">
      <alignment horizontal="center"/>
      <protection locked="0"/>
    </xf>
    <xf numFmtId="0" fontId="11" fillId="0" borderId="0" xfId="0" applyFont="1" applyAlignment="1" applyProtection="1">
      <alignment horizontal="center"/>
      <protection locked="0"/>
    </xf>
    <xf numFmtId="0" fontId="16" fillId="0" borderId="0" xfId="0" applyFont="1" applyAlignment="1" applyProtection="1">
      <alignment horizontal="center"/>
      <protection locked="0"/>
    </xf>
    <xf numFmtId="0" fontId="2" fillId="0" borderId="0" xfId="0" applyFont="1" applyProtection="1">
      <protection locked="0"/>
    </xf>
    <xf numFmtId="0" fontId="18" fillId="0" borderId="0" xfId="0" applyFont="1" applyBorder="1" applyAlignment="1">
      <alignment horizontal="center" vertical="center" wrapText="1"/>
    </xf>
    <xf numFmtId="0" fontId="18" fillId="0" borderId="0" xfId="0" applyFont="1" applyBorder="1" applyAlignment="1">
      <alignment horizontal="left" vertical="center" wrapText="1"/>
    </xf>
    <xf numFmtId="0" fontId="18" fillId="0" borderId="26" xfId="0" applyFont="1" applyBorder="1" applyAlignment="1">
      <alignment vertical="center" wrapText="1"/>
    </xf>
    <xf numFmtId="0" fontId="2" fillId="0" borderId="26" xfId="0" applyFont="1" applyBorder="1"/>
    <xf numFmtId="0" fontId="18" fillId="0" borderId="27" xfId="0" applyFont="1" applyBorder="1" applyAlignment="1">
      <alignment vertical="center" wrapText="1"/>
    </xf>
    <xf numFmtId="0" fontId="2" fillId="0" borderId="27" xfId="0" applyFont="1" applyBorder="1"/>
    <xf numFmtId="0" fontId="2" fillId="0" borderId="28" xfId="0" applyFont="1" applyBorder="1"/>
    <xf numFmtId="0" fontId="18" fillId="0" borderId="28" xfId="0" applyFont="1" applyBorder="1" applyAlignment="1">
      <alignment vertical="center" wrapText="1"/>
    </xf>
    <xf numFmtId="0" fontId="18" fillId="0" borderId="29" xfId="0" applyFont="1" applyBorder="1" applyAlignment="1">
      <alignment vertical="center" wrapText="1"/>
    </xf>
    <xf numFmtId="0" fontId="2" fillId="0" borderId="29" xfId="0" applyFont="1" applyBorder="1"/>
    <xf numFmtId="0" fontId="18" fillId="0" borderId="3" xfId="0" applyFont="1" applyBorder="1" applyAlignment="1">
      <alignment vertical="center" wrapText="1"/>
    </xf>
    <xf numFmtId="0" fontId="2" fillId="0" borderId="3" xfId="0" applyFont="1" applyBorder="1"/>
    <xf numFmtId="0" fontId="18" fillId="0" borderId="3" xfId="0" applyFont="1" applyBorder="1" applyAlignment="1">
      <alignment horizontal="center" vertical="center" wrapText="1"/>
    </xf>
    <xf numFmtId="0" fontId="20" fillId="0" borderId="0" xfId="0" applyFont="1" applyBorder="1" applyAlignment="1">
      <alignment horizontal="left" vertical="center" wrapText="1"/>
    </xf>
    <xf numFmtId="0" fontId="20" fillId="0" borderId="0" xfId="0" applyFont="1"/>
    <xf numFmtId="0" fontId="18" fillId="0" borderId="0" xfId="0" applyFont="1" applyBorder="1" applyAlignment="1">
      <alignment horizontal="center" vertical="top" wrapText="1"/>
    </xf>
    <xf numFmtId="0" fontId="20" fillId="0" borderId="0" xfId="0" applyFont="1" applyBorder="1" applyAlignment="1">
      <alignment horizontal="left" vertical="top" wrapText="1"/>
    </xf>
    <xf numFmtId="0" fontId="11" fillId="0" borderId="0" xfId="0" applyFont="1" applyFill="1" applyBorder="1"/>
    <xf numFmtId="0" fontId="22" fillId="6" borderId="34" xfId="0" applyFont="1" applyFill="1" applyBorder="1" applyAlignment="1">
      <alignment horizontal="center" vertical="center"/>
    </xf>
    <xf numFmtId="0" fontId="22" fillId="6" borderId="39" xfId="0" applyFont="1" applyFill="1" applyBorder="1" applyAlignment="1">
      <alignment horizontal="center" vertical="center"/>
    </xf>
    <xf numFmtId="0" fontId="22" fillId="6" borderId="42" xfId="0" applyFont="1" applyFill="1" applyBorder="1" applyAlignment="1">
      <alignment horizontal="center" vertical="center"/>
    </xf>
    <xf numFmtId="0" fontId="22" fillId="7" borderId="46" xfId="0" applyFont="1" applyFill="1" applyBorder="1" applyAlignment="1">
      <alignment horizontal="center" vertical="center"/>
    </xf>
    <xf numFmtId="0" fontId="22" fillId="8" borderId="34" xfId="0" applyFont="1" applyFill="1" applyBorder="1" applyAlignment="1">
      <alignment horizontal="center" vertical="center"/>
    </xf>
    <xf numFmtId="0" fontId="22" fillId="8" borderId="39" xfId="0" applyFont="1" applyFill="1" applyBorder="1" applyAlignment="1">
      <alignment horizontal="center" vertical="center"/>
    </xf>
    <xf numFmtId="0" fontId="22" fillId="8" borderId="42" xfId="0" applyFont="1" applyFill="1" applyBorder="1" applyAlignment="1">
      <alignment horizontal="center" vertical="center"/>
    </xf>
    <xf numFmtId="0" fontId="22" fillId="9" borderId="46" xfId="0" applyFont="1" applyFill="1" applyBorder="1" applyAlignment="1">
      <alignment horizontal="center" vertical="center"/>
    </xf>
    <xf numFmtId="0" fontId="11" fillId="0" borderId="0" xfId="0" applyFont="1" applyFill="1" applyBorder="1" applyAlignment="1">
      <alignment vertical="center"/>
    </xf>
    <xf numFmtId="0" fontId="22" fillId="8" borderId="52" xfId="0" applyFont="1" applyFill="1" applyBorder="1" applyAlignment="1">
      <alignment horizontal="center" vertical="center"/>
    </xf>
    <xf numFmtId="0" fontId="22" fillId="9" borderId="34" xfId="0" applyFont="1" applyFill="1" applyBorder="1" applyAlignment="1">
      <alignment horizontal="center" vertical="center"/>
    </xf>
    <xf numFmtId="0" fontId="22" fillId="9" borderId="42" xfId="0" applyFont="1" applyFill="1" applyBorder="1" applyAlignment="1">
      <alignment horizontal="center" vertical="center"/>
    </xf>
    <xf numFmtId="0" fontId="22" fillId="6" borderId="52" xfId="0" applyFont="1" applyFill="1" applyBorder="1" applyAlignment="1">
      <alignment horizontal="center" vertical="center"/>
    </xf>
    <xf numFmtId="0" fontId="22" fillId="7" borderId="57" xfId="0" applyFont="1" applyFill="1" applyBorder="1" applyAlignment="1">
      <alignment horizontal="center" vertical="center"/>
    </xf>
    <xf numFmtId="0" fontId="22" fillId="9" borderId="35" xfId="0" applyFont="1" applyFill="1" applyBorder="1" applyAlignment="1">
      <alignment horizontal="center" vertical="center"/>
    </xf>
    <xf numFmtId="0" fontId="22" fillId="9" borderId="40" xfId="0" applyFont="1" applyFill="1" applyBorder="1" applyAlignment="1">
      <alignment horizontal="center" vertical="center"/>
    </xf>
    <xf numFmtId="0" fontId="22" fillId="9" borderId="43" xfId="0" applyFont="1" applyFill="1" applyBorder="1" applyAlignment="1">
      <alignment horizontal="center" vertical="center"/>
    </xf>
    <xf numFmtId="0" fontId="22" fillId="0" borderId="0" xfId="0" applyFont="1" applyFill="1" applyBorder="1" applyAlignment="1">
      <alignment vertical="center" textRotation="90"/>
    </xf>
    <xf numFmtId="0" fontId="22" fillId="7" borderId="34" xfId="0" applyFont="1" applyFill="1" applyBorder="1" applyAlignment="1">
      <alignment horizontal="center" vertical="center"/>
    </xf>
    <xf numFmtId="0" fontId="22" fillId="7" borderId="39" xfId="0" applyFont="1" applyFill="1" applyBorder="1" applyAlignment="1">
      <alignment horizontal="center" vertical="center"/>
    </xf>
    <xf numFmtId="0" fontId="22" fillId="7" borderId="52" xfId="0" applyFont="1" applyFill="1" applyBorder="1" applyAlignment="1">
      <alignment horizontal="center" vertical="center"/>
    </xf>
    <xf numFmtId="0" fontId="25" fillId="0" borderId="13" xfId="0" applyFont="1" applyFill="1" applyBorder="1" applyAlignment="1" applyProtection="1">
      <protection locked="0"/>
    </xf>
    <xf numFmtId="0" fontId="25" fillId="0" borderId="14" xfId="0" applyFont="1" applyFill="1" applyBorder="1" applyAlignment="1" applyProtection="1">
      <protection locked="0"/>
    </xf>
    <xf numFmtId="0" fontId="25" fillId="0" borderId="15" xfId="0" applyFont="1" applyFill="1" applyBorder="1" applyAlignment="1" applyProtection="1">
      <protection locked="0"/>
    </xf>
    <xf numFmtId="0" fontId="25" fillId="0" borderId="17" xfId="0" applyFont="1" applyFill="1" applyBorder="1" applyAlignment="1" applyProtection="1">
      <protection locked="0"/>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5" fillId="0" borderId="49" xfId="0" applyFont="1" applyFill="1" applyBorder="1" applyAlignment="1" applyProtection="1">
      <alignment horizontal="center"/>
      <protection locked="0"/>
    </xf>
    <xf numFmtId="0" fontId="25" fillId="0" borderId="51" xfId="0" applyFont="1" applyFill="1" applyBorder="1" applyAlignment="1" applyProtection="1">
      <alignment horizontal="center"/>
      <protection locked="0"/>
    </xf>
    <xf numFmtId="0" fontId="25" fillId="0" borderId="58" xfId="0" applyFont="1" applyFill="1" applyBorder="1" applyAlignment="1" applyProtection="1">
      <alignment horizontal="center"/>
      <protection locked="0"/>
    </xf>
    <xf numFmtId="0" fontId="25" fillId="0" borderId="4" xfId="0" applyFont="1" applyFill="1" applyBorder="1" applyAlignment="1" applyProtection="1">
      <alignment horizontal="center"/>
      <protection locked="0"/>
    </xf>
    <xf numFmtId="0" fontId="25" fillId="0" borderId="59"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3" xfId="0" applyFont="1" applyFill="1" applyBorder="1" applyAlignment="1" applyProtection="1">
      <protection locked="0"/>
    </xf>
    <xf numFmtId="0" fontId="25" fillId="0" borderId="54" xfId="0" applyFont="1" applyFill="1" applyBorder="1" applyAlignment="1" applyProtection="1">
      <protection locked="0"/>
    </xf>
    <xf numFmtId="0" fontId="22" fillId="10" borderId="39" xfId="0" applyFont="1" applyFill="1" applyBorder="1" applyAlignment="1">
      <alignment horizontal="center" vertical="center"/>
    </xf>
    <xf numFmtId="0" fontId="22" fillId="9" borderId="39" xfId="0" applyFont="1" applyFill="1" applyBorder="1" applyAlignment="1">
      <alignment horizontal="center" vertical="center"/>
    </xf>
    <xf numFmtId="0" fontId="22" fillId="5" borderId="57" xfId="0" applyFont="1" applyFill="1" applyBorder="1" applyAlignment="1">
      <alignment horizontal="center" vertical="center" textRotation="90"/>
    </xf>
    <xf numFmtId="0" fontId="22" fillId="6" borderId="57" xfId="0" applyFont="1" applyFill="1" applyBorder="1" applyAlignment="1">
      <alignment horizontal="center" vertical="center"/>
    </xf>
    <xf numFmtId="0" fontId="22" fillId="7" borderId="42" xfId="0" applyFont="1" applyFill="1" applyBorder="1" applyAlignment="1">
      <alignment horizontal="center" vertical="center"/>
    </xf>
    <xf numFmtId="0" fontId="28" fillId="0" borderId="0" xfId="0" applyFont="1"/>
    <xf numFmtId="0" fontId="28" fillId="0" borderId="30" xfId="0" applyFont="1" applyBorder="1"/>
    <xf numFmtId="0" fontId="28" fillId="0" borderId="31" xfId="0" applyFont="1" applyBorder="1"/>
    <xf numFmtId="0" fontId="28" fillId="0" borderId="64" xfId="0" applyFont="1" applyBorder="1" applyAlignment="1">
      <alignment horizontal="center"/>
    </xf>
    <xf numFmtId="0" fontId="28" fillId="0" borderId="32" xfId="0" applyFont="1" applyBorder="1" applyAlignment="1">
      <alignment horizontal="center"/>
    </xf>
    <xf numFmtId="0" fontId="30" fillId="0" borderId="0" xfId="0" applyFont="1"/>
    <xf numFmtId="0" fontId="0" fillId="0" borderId="0" xfId="0" quotePrefix="1"/>
    <xf numFmtId="0" fontId="29" fillId="0" borderId="1" xfId="0" applyFont="1" applyBorder="1" applyAlignment="1">
      <alignment horizontal="left"/>
    </xf>
    <xf numFmtId="0" fontId="29" fillId="0" borderId="4" xfId="0" applyFont="1" applyBorder="1"/>
    <xf numFmtId="0" fontId="29" fillId="0" borderId="58" xfId="0" applyFont="1" applyBorder="1" applyAlignment="1"/>
    <xf numFmtId="0" fontId="29" fillId="0" borderId="62" xfId="0" applyFont="1" applyBorder="1" applyAlignment="1"/>
    <xf numFmtId="0" fontId="5" fillId="0" borderId="66" xfId="0" applyFont="1" applyBorder="1" applyProtection="1"/>
    <xf numFmtId="0" fontId="5" fillId="0" borderId="40" xfId="0" applyFont="1" applyBorder="1" applyProtection="1"/>
    <xf numFmtId="0" fontId="5" fillId="0" borderId="43" xfId="0" applyFont="1" applyBorder="1" applyProtection="1"/>
    <xf numFmtId="0" fontId="2" fillId="0" borderId="0" xfId="0" applyFont="1" applyProtection="1"/>
    <xf numFmtId="0" fontId="4" fillId="0" borderId="8" xfId="0" applyFont="1" applyBorder="1" applyProtection="1"/>
    <xf numFmtId="0" fontId="4" fillId="0" borderId="13" xfId="0" applyFont="1" applyBorder="1" applyProtection="1"/>
    <xf numFmtId="0" fontId="4" fillId="0" borderId="15" xfId="0" applyFont="1" applyBorder="1" applyAlignment="1" applyProtection="1">
      <alignment horizontal="left" vertical="top" wrapText="1"/>
    </xf>
    <xf numFmtId="0" fontId="7" fillId="2" borderId="1" xfId="0" applyFont="1" applyFill="1" applyBorder="1" applyAlignment="1" applyProtection="1">
      <alignment horizontal="center" vertical="top"/>
    </xf>
    <xf numFmtId="0" fontId="2" fillId="0" borderId="1" xfId="0" applyFont="1" applyBorder="1" applyAlignment="1" applyProtection="1">
      <alignment horizontal="center" vertical="top"/>
    </xf>
    <xf numFmtId="0" fontId="4" fillId="0" borderId="1" xfId="0" applyFont="1" applyBorder="1" applyAlignment="1" applyProtection="1">
      <alignment vertical="top" wrapText="1"/>
    </xf>
    <xf numFmtId="0" fontId="25" fillId="0" borderId="21" xfId="0" applyFont="1" applyFill="1" applyBorder="1" applyAlignment="1" applyProtection="1">
      <alignment horizontal="center"/>
      <protection locked="0"/>
    </xf>
    <xf numFmtId="0" fontId="25" fillId="0" borderId="22" xfId="0" applyFont="1" applyFill="1" applyBorder="1" applyAlignment="1" applyProtection="1">
      <alignment horizontal="center"/>
      <protection locked="0"/>
    </xf>
    <xf numFmtId="0" fontId="29" fillId="0" borderId="9" xfId="0" applyFont="1" applyBorder="1" applyAlignment="1" applyProtection="1">
      <alignment horizontal="center"/>
      <protection locked="0"/>
    </xf>
    <xf numFmtId="0" fontId="29" fillId="0" borderId="10" xfId="0" applyFont="1" applyBorder="1" applyAlignment="1" applyProtection="1">
      <alignment horizontal="center"/>
      <protection locked="0"/>
    </xf>
    <xf numFmtId="0" fontId="29" fillId="0" borderId="17"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10" xfId="0" applyFont="1" applyBorder="1" applyProtection="1">
      <protection locked="0"/>
    </xf>
    <xf numFmtId="0" fontId="29" fillId="0" borderId="14" xfId="0" applyFont="1" applyBorder="1" applyProtection="1">
      <protection locked="0"/>
    </xf>
    <xf numFmtId="0" fontId="29" fillId="0" borderId="17" xfId="0" applyFont="1" applyBorder="1" applyProtection="1">
      <protection locked="0"/>
    </xf>
    <xf numFmtId="0" fontId="20" fillId="0" borderId="0" xfId="0" applyFont="1" applyBorder="1" applyAlignment="1">
      <alignment horizontal="left" vertical="center" wrapText="1"/>
    </xf>
    <xf numFmtId="0" fontId="36" fillId="0" borderId="3" xfId="0" applyFont="1" applyBorder="1" applyAlignment="1">
      <alignment horizontal="left" vertical="center" wrapText="1"/>
    </xf>
    <xf numFmtId="0" fontId="20" fillId="0" borderId="3" xfId="0" applyFont="1" applyBorder="1" applyAlignment="1">
      <alignment vertical="center" wrapText="1"/>
    </xf>
    <xf numFmtId="0" fontId="20" fillId="0" borderId="0" xfId="0" applyFont="1" applyBorder="1" applyAlignment="1">
      <alignment vertical="center" wrapText="1"/>
    </xf>
    <xf numFmtId="0" fontId="20" fillId="0" borderId="28" xfId="0" applyFont="1" applyBorder="1" applyAlignment="1">
      <alignment vertical="center" wrapText="1"/>
    </xf>
    <xf numFmtId="0" fontId="6" fillId="3" borderId="9" xfId="0" applyFont="1" applyFill="1" applyBorder="1" applyAlignment="1" applyProtection="1">
      <alignment vertical="top" wrapText="1"/>
      <protection locked="0"/>
    </xf>
    <xf numFmtId="0" fontId="6" fillId="3" borderId="9" xfId="0" applyFont="1" applyFill="1" applyBorder="1" applyAlignment="1" applyProtection="1">
      <alignment horizontal="left" vertical="top" wrapText="1"/>
      <protection locked="0"/>
    </xf>
    <xf numFmtId="0" fontId="6" fillId="3" borderId="10" xfId="0" applyFont="1" applyFill="1" applyBorder="1" applyAlignment="1" applyProtection="1">
      <alignment horizontal="left" vertical="top" wrapText="1"/>
      <protection locked="0"/>
    </xf>
    <xf numFmtId="0" fontId="5" fillId="0" borderId="0"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left" vertical="top"/>
    </xf>
    <xf numFmtId="0" fontId="5" fillId="3" borderId="8" xfId="0" applyFont="1" applyFill="1" applyBorder="1" applyAlignment="1" applyProtection="1">
      <alignment vertical="top" wrapText="1"/>
    </xf>
    <xf numFmtId="0" fontId="5" fillId="3" borderId="9" xfId="0" applyFont="1" applyFill="1" applyBorder="1" applyAlignment="1" applyProtection="1">
      <alignment vertical="top" wrapText="1"/>
    </xf>
    <xf numFmtId="0" fontId="2" fillId="0" borderId="11" xfId="0" applyFont="1" applyBorder="1" applyProtection="1"/>
    <xf numFmtId="0" fontId="2" fillId="0" borderId="0" xfId="0" applyFont="1" applyBorder="1" applyProtection="1"/>
    <xf numFmtId="0" fontId="2" fillId="0" borderId="12" xfId="0" applyFont="1" applyBorder="1" applyProtection="1"/>
    <xf numFmtId="0" fontId="3" fillId="2" borderId="13" xfId="0" applyFont="1" applyFill="1" applyBorder="1" applyProtection="1"/>
    <xf numFmtId="0" fontId="3" fillId="2" borderId="1" xfId="0" applyFont="1" applyFill="1" applyBorder="1" applyAlignment="1" applyProtection="1">
      <alignment vertical="top"/>
    </xf>
    <xf numFmtId="0" fontId="3" fillId="2" borderId="1" xfId="0" applyFont="1" applyFill="1" applyBorder="1" applyAlignment="1" applyProtection="1">
      <alignment horizontal="center" vertical="top"/>
    </xf>
    <xf numFmtId="0" fontId="3" fillId="2" borderId="13" xfId="0" applyFont="1" applyFill="1" applyBorder="1" applyAlignment="1" applyProtection="1">
      <alignment vertical="top"/>
    </xf>
    <xf numFmtId="0" fontId="2" fillId="0" borderId="23" xfId="0" applyFont="1" applyBorder="1" applyProtection="1"/>
    <xf numFmtId="0" fontId="2" fillId="0" borderId="24" xfId="0" applyFont="1" applyBorder="1" applyProtection="1"/>
    <xf numFmtId="0" fontId="2" fillId="0" borderId="25" xfId="0" applyFont="1" applyBorder="1" applyProtection="1"/>
    <xf numFmtId="0" fontId="2" fillId="0" borderId="13" xfId="0" applyFont="1" applyBorder="1" applyProtection="1">
      <protection locked="0"/>
    </xf>
    <xf numFmtId="0" fontId="2" fillId="0" borderId="13" xfId="0" applyFont="1" applyBorder="1" applyAlignment="1" applyProtection="1">
      <alignment vertical="top"/>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horizontal="center" vertical="top" wrapText="1"/>
      <protection locked="0"/>
    </xf>
    <xf numFmtId="0" fontId="6" fillId="0" borderId="13" xfId="0" applyFont="1" applyBorder="1" applyProtection="1">
      <protection locked="0"/>
    </xf>
    <xf numFmtId="0" fontId="6" fillId="0" borderId="13" xfId="0" applyFont="1" applyBorder="1" applyAlignment="1" applyProtection="1">
      <alignment vertical="top"/>
      <protection locked="0"/>
    </xf>
    <xf numFmtId="0" fontId="5" fillId="0" borderId="8" xfId="0" applyFont="1" applyBorder="1" applyProtection="1"/>
    <xf numFmtId="0" fontId="5" fillId="0" borderId="13" xfId="0" applyFont="1" applyBorder="1" applyProtection="1"/>
    <xf numFmtId="0" fontId="5" fillId="0" borderId="53" xfId="0" applyFont="1" applyBorder="1" applyProtection="1"/>
    <xf numFmtId="0" fontId="5" fillId="0" borderId="15" xfId="0" applyFont="1" applyBorder="1" applyProtection="1"/>
    <xf numFmtId="0" fontId="4" fillId="0" borderId="15" xfId="0" applyFont="1" applyBorder="1" applyProtection="1"/>
    <xf numFmtId="0" fontId="4" fillId="0" borderId="0" xfId="0" applyFont="1" applyBorder="1" applyProtection="1"/>
    <xf numFmtId="0" fontId="2" fillId="0" borderId="0" xfId="0" applyFont="1" applyBorder="1" applyAlignment="1" applyProtection="1">
      <alignment horizontal="left"/>
    </xf>
    <xf numFmtId="0" fontId="4" fillId="0" borderId="6" xfId="0" applyFont="1" applyBorder="1" applyAlignment="1" applyProtection="1"/>
    <xf numFmtId="0" fontId="4" fillId="0" borderId="6" xfId="0" applyFont="1" applyBorder="1" applyAlignment="1" applyProtection="1">
      <alignment horizontal="left"/>
    </xf>
    <xf numFmtId="0" fontId="4" fillId="0" borderId="1" xfId="0" applyFont="1" applyBorder="1" applyProtection="1"/>
    <xf numFmtId="0" fontId="4" fillId="0" borderId="1" xfId="0" applyFont="1" applyBorder="1" applyAlignment="1" applyProtection="1">
      <alignment horizontal="left"/>
    </xf>
    <xf numFmtId="0" fontId="4" fillId="0" borderId="1" xfId="0" applyFont="1" applyBorder="1" applyAlignment="1" applyProtection="1"/>
    <xf numFmtId="0" fontId="4" fillId="0" borderId="16" xfId="0" applyFont="1" applyBorder="1" applyProtection="1"/>
    <xf numFmtId="0" fontId="4" fillId="0" borderId="16" xfId="0" applyFont="1" applyBorder="1" applyAlignment="1" applyProtection="1">
      <alignment horizontal="left"/>
    </xf>
    <xf numFmtId="0" fontId="32" fillId="0" borderId="6" xfId="0" applyFont="1" applyFill="1" applyBorder="1" applyAlignment="1" applyProtection="1">
      <alignment horizontal="center"/>
    </xf>
    <xf numFmtId="0" fontId="32" fillId="0" borderId="1" xfId="0" applyFont="1" applyFill="1" applyBorder="1" applyAlignment="1" applyProtection="1">
      <alignment horizontal="center"/>
    </xf>
    <xf numFmtId="0" fontId="32" fillId="0" borderId="4" xfId="0" applyFont="1" applyFill="1" applyBorder="1" applyAlignment="1" applyProtection="1">
      <alignment horizontal="center"/>
    </xf>
    <xf numFmtId="0" fontId="33" fillId="0" borderId="6" xfId="0" applyFont="1" applyFill="1" applyBorder="1" applyAlignment="1" applyProtection="1">
      <alignment horizontal="center"/>
    </xf>
    <xf numFmtId="0" fontId="2" fillId="0" borderId="2" xfId="0" applyFont="1" applyFill="1" applyBorder="1" applyProtection="1"/>
    <xf numFmtId="0" fontId="11" fillId="0" borderId="4" xfId="0" applyFont="1" applyFill="1" applyBorder="1" applyProtection="1"/>
    <xf numFmtId="0" fontId="2" fillId="0" borderId="6" xfId="0" applyFont="1" applyBorder="1" applyProtection="1">
      <protection locked="0"/>
    </xf>
    <xf numFmtId="0" fontId="2" fillId="0" borderId="6" xfId="0" applyFont="1" applyBorder="1" applyAlignment="1" applyProtection="1">
      <alignment horizontal="right"/>
      <protection locked="0"/>
    </xf>
    <xf numFmtId="0" fontId="2" fillId="0" borderId="1" xfId="0" applyFont="1" applyBorder="1" applyProtection="1">
      <protection locked="0"/>
    </xf>
    <xf numFmtId="0" fontId="2" fillId="0" borderId="1" xfId="0" applyFont="1" applyBorder="1" applyAlignment="1" applyProtection="1">
      <alignment horizontal="right"/>
      <protection locked="0"/>
    </xf>
    <xf numFmtId="0" fontId="2" fillId="0" borderId="16" xfId="0" applyFont="1" applyBorder="1" applyProtection="1">
      <protection locked="0"/>
    </xf>
    <xf numFmtId="0" fontId="2" fillId="0" borderId="16" xfId="0" applyFont="1" applyBorder="1" applyAlignment="1" applyProtection="1">
      <alignment horizontal="right"/>
      <protection locked="0"/>
    </xf>
    <xf numFmtId="0" fontId="2" fillId="11" borderId="1" xfId="0" applyFont="1" applyFill="1" applyBorder="1" applyAlignment="1" applyProtection="1">
      <alignment horizontal="center"/>
      <protection locked="0"/>
    </xf>
    <xf numFmtId="0" fontId="2" fillId="0" borderId="1"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2" fillId="13" borderId="1" xfId="0" applyFont="1" applyFill="1" applyBorder="1" applyAlignment="1" applyProtection="1">
      <alignment horizontal="center"/>
      <protection locked="0"/>
    </xf>
    <xf numFmtId="14" fontId="2" fillId="0" borderId="1" xfId="0" applyNumberFormat="1" applyFont="1" applyBorder="1" applyAlignment="1" applyProtection="1">
      <alignment vertical="top" wrapText="1"/>
    </xf>
    <xf numFmtId="0" fontId="6" fillId="12" borderId="1" xfId="0" applyFont="1" applyFill="1" applyBorder="1" applyAlignment="1" applyProtection="1">
      <alignment horizontal="center"/>
      <protection locked="0"/>
    </xf>
    <xf numFmtId="0" fontId="6" fillId="0" borderId="4" xfId="0" applyFont="1" applyFill="1" applyBorder="1" applyAlignment="1" applyProtection="1">
      <alignment horizontal="center"/>
      <protection locked="0"/>
    </xf>
    <xf numFmtId="0" fontId="5" fillId="4" borderId="18" xfId="0" applyFont="1" applyFill="1" applyBorder="1" applyAlignment="1" applyProtection="1">
      <alignment horizontal="left" vertical="top"/>
    </xf>
    <xf numFmtId="0" fontId="5" fillId="4" borderId="19" xfId="0" applyFont="1" applyFill="1" applyBorder="1" applyAlignment="1" applyProtection="1">
      <alignment horizontal="left" vertical="top"/>
    </xf>
    <xf numFmtId="0" fontId="5" fillId="4" borderId="20" xfId="0" applyFont="1" applyFill="1" applyBorder="1" applyAlignment="1" applyProtection="1">
      <alignment horizontal="left" vertical="top"/>
    </xf>
    <xf numFmtId="0" fontId="2" fillId="0" borderId="68" xfId="0" applyFont="1" applyBorder="1" applyAlignment="1" applyProtection="1">
      <alignment horizontal="left" vertical="top"/>
      <protection locked="0"/>
    </xf>
    <xf numFmtId="0" fontId="2" fillId="0" borderId="31" xfId="0" applyFont="1" applyBorder="1" applyAlignment="1" applyProtection="1">
      <alignment horizontal="left" vertical="top"/>
      <protection locked="0"/>
    </xf>
    <xf numFmtId="0" fontId="2" fillId="0" borderId="32" xfId="0" applyFont="1" applyBorder="1" applyAlignment="1" applyProtection="1">
      <alignment horizontal="left" vertical="top"/>
      <protection locked="0"/>
    </xf>
    <xf numFmtId="0" fontId="2" fillId="0" borderId="1" xfId="0" applyFont="1" applyBorder="1" applyAlignment="1" applyProtection="1">
      <alignment horizontal="left" vertical="top"/>
      <protection locked="0"/>
    </xf>
    <xf numFmtId="0" fontId="2" fillId="0" borderId="14" xfId="0" applyFont="1" applyBorder="1" applyAlignment="1" applyProtection="1">
      <alignment horizontal="left" vertical="top"/>
      <protection locked="0"/>
    </xf>
    <xf numFmtId="14" fontId="2" fillId="0" borderId="1" xfId="0" applyNumberFormat="1" applyFont="1" applyBorder="1" applyAlignment="1" applyProtection="1">
      <alignment horizontal="left" vertical="top"/>
      <protection locked="0"/>
    </xf>
    <xf numFmtId="14" fontId="2" fillId="0" borderId="14" xfId="0" applyNumberFormat="1" applyFont="1" applyBorder="1" applyAlignment="1" applyProtection="1">
      <alignment horizontal="left" vertical="top"/>
      <protection locked="0"/>
    </xf>
    <xf numFmtId="2" fontId="2" fillId="0" borderId="1" xfId="0" applyNumberFormat="1" applyFont="1" applyBorder="1" applyAlignment="1" applyProtection="1">
      <alignment horizontal="left" vertical="top"/>
      <protection locked="0"/>
    </xf>
    <xf numFmtId="2" fontId="2" fillId="0" borderId="14" xfId="0" applyNumberFormat="1" applyFont="1" applyBorder="1" applyAlignment="1" applyProtection="1">
      <alignment horizontal="left" vertical="top"/>
      <protection locked="0"/>
    </xf>
    <xf numFmtId="2" fontId="2" fillId="0" borderId="16" xfId="0" applyNumberFormat="1" applyFont="1" applyBorder="1" applyAlignment="1" applyProtection="1">
      <alignment horizontal="left" vertical="top"/>
      <protection locked="0"/>
    </xf>
    <xf numFmtId="2" fontId="2" fillId="0" borderId="17" xfId="0" applyNumberFormat="1" applyFont="1" applyBorder="1" applyAlignment="1" applyProtection="1">
      <alignment horizontal="left" vertical="top"/>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4" fillId="0" borderId="8" xfId="0" applyFont="1" applyBorder="1" applyAlignment="1" applyProtection="1">
      <alignment horizontal="left" vertical="top" wrapText="1"/>
    </xf>
    <xf numFmtId="0" fontId="4" fillId="0" borderId="13" xfId="0" applyFont="1" applyBorder="1" applyAlignment="1" applyProtection="1">
      <alignment horizontal="left" vertical="top" wrapText="1"/>
    </xf>
    <xf numFmtId="0" fontId="4" fillId="0" borderId="15" xfId="0" applyFont="1" applyBorder="1" applyAlignment="1" applyProtection="1">
      <alignment horizontal="left" vertical="top" wrapText="1"/>
    </xf>
    <xf numFmtId="0" fontId="4" fillId="0" borderId="1" xfId="0" applyFont="1" applyBorder="1" applyAlignment="1" applyProtection="1">
      <alignment horizontal="left"/>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5" fillId="4" borderId="30" xfId="0" applyFont="1" applyFill="1" applyBorder="1" applyAlignment="1" applyProtection="1">
      <alignment horizontal="left" vertical="top"/>
    </xf>
    <xf numFmtId="0" fontId="5" fillId="4" borderId="31" xfId="0" applyFont="1" applyFill="1" applyBorder="1" applyAlignment="1" applyProtection="1">
      <alignment horizontal="left" vertical="top"/>
    </xf>
    <xf numFmtId="0" fontId="5" fillId="4" borderId="32" xfId="0" applyFont="1" applyFill="1" applyBorder="1" applyAlignment="1" applyProtection="1">
      <alignment horizontal="left" vertical="top"/>
    </xf>
    <xf numFmtId="0" fontId="2" fillId="0" borderId="9" xfId="0" applyFont="1" applyBorder="1" applyAlignment="1" applyProtection="1">
      <alignment horizontal="left" vertical="top"/>
      <protection locked="0"/>
    </xf>
    <xf numFmtId="0" fontId="2" fillId="0" borderId="10" xfId="0" applyFont="1" applyBorder="1" applyAlignment="1" applyProtection="1">
      <alignment horizontal="left" vertical="top"/>
      <protection locked="0"/>
    </xf>
    <xf numFmtId="0" fontId="2" fillId="0" borderId="1" xfId="0" applyFont="1" applyBorder="1" applyAlignment="1" applyProtection="1">
      <alignment horizontal="left"/>
      <protection locked="0"/>
    </xf>
    <xf numFmtId="0" fontId="2" fillId="0" borderId="14" xfId="0" applyFont="1" applyBorder="1" applyAlignment="1" applyProtection="1">
      <alignment horizontal="left"/>
      <protection locked="0"/>
    </xf>
    <xf numFmtId="0" fontId="2" fillId="0" borderId="16" xfId="0" applyFont="1" applyBorder="1" applyAlignment="1" applyProtection="1">
      <alignment horizontal="left" vertical="top"/>
      <protection locked="0"/>
    </xf>
    <xf numFmtId="0" fontId="2" fillId="3" borderId="1" xfId="0" applyFont="1" applyFill="1" applyBorder="1" applyAlignment="1" applyProtection="1">
      <alignment horizontal="left" vertical="top"/>
    </xf>
    <xf numFmtId="0" fontId="2" fillId="3" borderId="14" xfId="0" applyFont="1" applyFill="1" applyBorder="1" applyAlignment="1" applyProtection="1">
      <alignment horizontal="left" vertical="top"/>
    </xf>
    <xf numFmtId="0" fontId="2" fillId="3" borderId="16" xfId="0" applyFont="1" applyFill="1" applyBorder="1" applyAlignment="1" applyProtection="1">
      <alignment horizontal="left" vertical="top"/>
    </xf>
    <xf numFmtId="0" fontId="2" fillId="3" borderId="17" xfId="0" applyFont="1" applyFill="1" applyBorder="1" applyAlignment="1" applyProtection="1">
      <alignment horizontal="left" vertical="top"/>
    </xf>
    <xf numFmtId="0" fontId="4" fillId="0" borderId="8" xfId="0" applyFont="1" applyBorder="1" applyAlignment="1" applyProtection="1">
      <alignment horizontal="left"/>
    </xf>
    <xf numFmtId="0" fontId="4" fillId="0" borderId="9" xfId="0" applyFont="1" applyBorder="1" applyAlignment="1" applyProtection="1">
      <alignment horizontal="left"/>
    </xf>
    <xf numFmtId="0" fontId="2" fillId="0" borderId="9"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4" fillId="0" borderId="55" xfId="0" applyFont="1" applyBorder="1" applyAlignment="1" applyProtection="1">
      <alignment horizontal="left" vertical="top"/>
    </xf>
    <xf numFmtId="0" fontId="4" fillId="0" borderId="59" xfId="0" applyFont="1" applyBorder="1" applyAlignment="1" applyProtection="1">
      <alignment horizontal="left" vertical="top"/>
    </xf>
    <xf numFmtId="0" fontId="4" fillId="0" borderId="11" xfId="0" applyFont="1" applyBorder="1" applyAlignment="1" applyProtection="1">
      <alignment horizontal="left" vertical="top"/>
    </xf>
    <xf numFmtId="0" fontId="4" fillId="0" borderId="69" xfId="0" applyFont="1" applyBorder="1" applyAlignment="1" applyProtection="1">
      <alignment horizontal="left" vertical="top"/>
    </xf>
    <xf numFmtId="0" fontId="4" fillId="0" borderId="66" xfId="0" applyFont="1" applyBorder="1" applyAlignment="1" applyProtection="1">
      <alignment horizontal="left" vertical="top"/>
    </xf>
    <xf numFmtId="0" fontId="4" fillId="0" borderId="60" xfId="0" applyFont="1" applyBorder="1" applyAlignment="1" applyProtection="1">
      <alignment horizontal="left" vertical="top"/>
    </xf>
    <xf numFmtId="0" fontId="4" fillId="0" borderId="13" xfId="0" applyFont="1" applyBorder="1" applyAlignment="1" applyProtection="1">
      <alignment horizontal="left" vertical="top"/>
    </xf>
    <xf numFmtId="0" fontId="4" fillId="0" borderId="1" xfId="0" applyFont="1" applyBorder="1" applyAlignment="1" applyProtection="1">
      <alignment horizontal="left" vertical="top"/>
    </xf>
    <xf numFmtId="0" fontId="4" fillId="0" borderId="15" xfId="0" applyFont="1" applyBorder="1" applyAlignment="1" applyProtection="1">
      <alignment horizontal="left" vertical="top"/>
    </xf>
    <xf numFmtId="0" fontId="4" fillId="0" borderId="16" xfId="0" applyFont="1" applyBorder="1" applyAlignment="1" applyProtection="1">
      <alignment horizontal="left" vertical="top"/>
    </xf>
    <xf numFmtId="0" fontId="4" fillId="0" borderId="16" xfId="0" applyFont="1" applyBorder="1" applyAlignment="1" applyProtection="1">
      <alignment horizontal="center"/>
    </xf>
    <xf numFmtId="14" fontId="2" fillId="0" borderId="9" xfId="0" applyNumberFormat="1" applyFont="1" applyBorder="1" applyAlignment="1" applyProtection="1">
      <alignment horizontal="left"/>
      <protection locked="0"/>
    </xf>
    <xf numFmtId="14" fontId="2" fillId="0" borderId="10" xfId="0" applyNumberFormat="1" applyFont="1" applyBorder="1" applyAlignment="1" applyProtection="1">
      <alignment horizontal="left"/>
      <protection locked="0"/>
    </xf>
    <xf numFmtId="14" fontId="2" fillId="0" borderId="1" xfId="0" applyNumberFormat="1" applyFont="1" applyBorder="1" applyAlignment="1" applyProtection="1">
      <alignment horizontal="left"/>
      <protection locked="0"/>
    </xf>
    <xf numFmtId="14" fontId="2" fillId="0" borderId="14" xfId="0" applyNumberFormat="1" applyFont="1" applyBorder="1" applyAlignment="1" applyProtection="1">
      <alignment horizontal="left"/>
      <protection locked="0"/>
    </xf>
    <xf numFmtId="14" fontId="2" fillId="0" borderId="16" xfId="0" applyNumberFormat="1" applyFont="1" applyBorder="1" applyAlignment="1" applyProtection="1">
      <alignment horizontal="left"/>
      <protection locked="0"/>
    </xf>
    <xf numFmtId="14" fontId="2" fillId="0" borderId="17" xfId="0" applyNumberFormat="1" applyFont="1" applyBorder="1" applyAlignment="1" applyProtection="1">
      <alignment horizontal="left"/>
      <protection locked="0"/>
    </xf>
    <xf numFmtId="0" fontId="4" fillId="0" borderId="1" xfId="0" applyFont="1" applyBorder="1" applyAlignment="1" applyProtection="1">
      <alignment horizontal="center"/>
    </xf>
    <xf numFmtId="0" fontId="4" fillId="0" borderId="9" xfId="0" applyFont="1" applyBorder="1" applyAlignment="1" applyProtection="1">
      <alignment horizontal="center"/>
    </xf>
    <xf numFmtId="0" fontId="9" fillId="0" borderId="0" xfId="0" applyFont="1" applyAlignment="1">
      <alignment horizontal="justify" vertical="top" wrapText="1"/>
    </xf>
    <xf numFmtId="0" fontId="7" fillId="2" borderId="2" xfId="0" applyFont="1" applyFill="1" applyBorder="1" applyAlignment="1" applyProtection="1">
      <alignment horizontal="left" vertical="top"/>
    </xf>
    <xf numFmtId="0" fontId="7" fillId="2" borderId="3" xfId="0" applyFont="1" applyFill="1" applyBorder="1" applyAlignment="1" applyProtection="1">
      <alignment horizontal="left" vertical="top"/>
    </xf>
    <xf numFmtId="0" fontId="7" fillId="2" borderId="4" xfId="0" applyFont="1" applyFill="1" applyBorder="1" applyAlignment="1" applyProtection="1">
      <alignment horizontal="left" vertical="top"/>
    </xf>
    <xf numFmtId="0" fontId="2" fillId="0" borderId="2" xfId="0" applyFont="1" applyBorder="1" applyAlignment="1" applyProtection="1">
      <alignment horizontal="left"/>
    </xf>
    <xf numFmtId="0" fontId="2" fillId="0" borderId="3" xfId="0" applyFont="1" applyBorder="1" applyAlignment="1" applyProtection="1">
      <alignment horizontal="left"/>
    </xf>
    <xf numFmtId="0" fontId="2" fillId="0" borderId="4" xfId="0" applyFont="1" applyBorder="1" applyAlignment="1" applyProtection="1">
      <alignment horizontal="left"/>
    </xf>
    <xf numFmtId="0" fontId="2" fillId="0" borderId="1" xfId="0" applyFont="1" applyBorder="1" applyAlignment="1" applyProtection="1">
      <alignment horizontal="left" vertical="top" wrapText="1"/>
      <protection locked="0"/>
    </xf>
    <xf numFmtId="0" fontId="2" fillId="0" borderId="0" xfId="0" applyFont="1" applyBorder="1" applyAlignment="1" applyProtection="1">
      <alignment horizontal="center"/>
    </xf>
    <xf numFmtId="0" fontId="4" fillId="0" borderId="1" xfId="0" applyFont="1" applyFill="1" applyBorder="1" applyAlignment="1" applyProtection="1">
      <alignment horizontal="left" vertical="top"/>
    </xf>
    <xf numFmtId="0" fontId="2" fillId="0" borderId="9" xfId="0" applyFont="1" applyBorder="1" applyAlignment="1" applyProtection="1">
      <alignment horizontal="left" vertical="top"/>
    </xf>
    <xf numFmtId="0" fontId="2" fillId="0" borderId="10" xfId="0" applyFont="1" applyBorder="1" applyAlignment="1" applyProtection="1">
      <alignment horizontal="left" vertical="top"/>
    </xf>
    <xf numFmtId="0" fontId="2" fillId="0" borderId="6" xfId="0" applyFont="1" applyBorder="1" applyAlignment="1" applyProtection="1">
      <alignment horizontal="left" vertical="top"/>
    </xf>
    <xf numFmtId="0" fontId="2" fillId="0" borderId="22" xfId="0" applyFont="1" applyBorder="1" applyAlignment="1" applyProtection="1">
      <alignment horizontal="left" vertical="top"/>
    </xf>
    <xf numFmtId="164" fontId="2" fillId="0" borderId="6" xfId="0" applyNumberFormat="1" applyFont="1" applyBorder="1" applyAlignment="1" applyProtection="1">
      <alignment horizontal="left" vertical="top"/>
    </xf>
    <xf numFmtId="164" fontId="2" fillId="0" borderId="22" xfId="0" applyNumberFormat="1" applyFont="1" applyBorder="1" applyAlignment="1" applyProtection="1">
      <alignment horizontal="left" vertical="top"/>
    </xf>
    <xf numFmtId="0" fontId="2" fillId="0" borderId="65" xfId="0" applyFont="1" applyBorder="1" applyAlignment="1" applyProtection="1">
      <alignment horizontal="left" vertical="top"/>
    </xf>
    <xf numFmtId="0" fontId="2" fillId="0" borderId="67" xfId="0" applyFont="1" applyBorder="1" applyAlignment="1" applyProtection="1">
      <alignment horizontal="left" vertical="top"/>
    </xf>
    <xf numFmtId="0" fontId="2" fillId="0" borderId="1" xfId="0" applyFont="1" applyBorder="1" applyAlignment="1" applyProtection="1">
      <alignment horizontal="left" vertical="top"/>
    </xf>
    <xf numFmtId="0" fontId="2" fillId="0" borderId="14" xfId="0" applyFont="1" applyBorder="1" applyAlignment="1" applyProtection="1">
      <alignment horizontal="left" vertical="top"/>
    </xf>
    <xf numFmtId="1" fontId="2" fillId="0" borderId="1" xfId="0" applyNumberFormat="1" applyFont="1" applyBorder="1" applyAlignment="1" applyProtection="1">
      <alignment horizontal="left" vertical="top"/>
    </xf>
    <xf numFmtId="1" fontId="2" fillId="0" borderId="14" xfId="0" applyNumberFormat="1" applyFont="1" applyBorder="1" applyAlignment="1" applyProtection="1">
      <alignment horizontal="left" vertical="top"/>
    </xf>
    <xf numFmtId="0" fontId="2" fillId="0" borderId="16" xfId="0" applyFont="1" applyBorder="1" applyAlignment="1" applyProtection="1">
      <alignment horizontal="left" vertical="top"/>
    </xf>
    <xf numFmtId="0" fontId="2" fillId="0" borderId="17" xfId="0" applyFont="1" applyBorder="1" applyAlignment="1" applyProtection="1">
      <alignment horizontal="left" vertical="top"/>
    </xf>
    <xf numFmtId="0" fontId="5" fillId="0" borderId="0" xfId="0" applyFont="1" applyFill="1" applyBorder="1" applyAlignment="1" applyProtection="1">
      <alignment horizontal="center"/>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20" xfId="0" applyFont="1" applyFill="1" applyBorder="1" applyAlignment="1">
      <alignment horizontal="left" vertical="top"/>
    </xf>
    <xf numFmtId="0" fontId="2" fillId="0" borderId="2" xfId="0" applyFont="1" applyBorder="1" applyAlignment="1" applyProtection="1">
      <alignment horizontal="left" vertical="top" wrapText="1"/>
    </xf>
    <xf numFmtId="0" fontId="2" fillId="0" borderId="3" xfId="0" applyFont="1" applyBorder="1" applyAlignment="1" applyProtection="1">
      <alignment horizontal="left" vertical="top" wrapText="1"/>
    </xf>
    <xf numFmtId="0" fontId="2" fillId="0" borderId="4" xfId="0" applyFont="1" applyBorder="1" applyAlignment="1" applyProtection="1">
      <alignment horizontal="left" vertical="top" wrapText="1"/>
    </xf>
    <xf numFmtId="2" fontId="2" fillId="0" borderId="1" xfId="0" applyNumberFormat="1" applyFont="1" applyBorder="1" applyAlignment="1">
      <alignment horizontal="left" vertical="top"/>
    </xf>
    <xf numFmtId="0" fontId="4" fillId="0" borderId="2" xfId="0" applyFont="1" applyBorder="1" applyAlignment="1">
      <alignment horizontal="left" vertical="top"/>
    </xf>
    <xf numFmtId="0" fontId="4" fillId="0" borderId="4" xfId="0" applyFont="1" applyBorder="1" applyAlignment="1">
      <alignment horizontal="left" vertical="top"/>
    </xf>
    <xf numFmtId="0" fontId="5" fillId="0" borderId="5" xfId="0" applyFont="1" applyBorder="1" applyAlignment="1" applyProtection="1">
      <alignment horizontal="left" vertical="top" wrapText="1"/>
    </xf>
    <xf numFmtId="0" fontId="5" fillId="0" borderId="7" xfId="0" applyFont="1" applyBorder="1" applyAlignment="1" applyProtection="1">
      <alignment horizontal="left" vertical="top" wrapText="1"/>
    </xf>
    <xf numFmtId="0" fontId="5" fillId="0" borderId="6" xfId="0" applyFont="1" applyBorder="1" applyAlignment="1" applyProtection="1">
      <alignment horizontal="left" vertical="top" wrapText="1"/>
    </xf>
    <xf numFmtId="0" fontId="5"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2" fillId="0" borderId="1" xfId="0" applyFont="1" applyBorder="1" applyAlignment="1">
      <alignment horizontal="left" vertical="top"/>
    </xf>
    <xf numFmtId="0" fontId="4" fillId="0" borderId="1" xfId="0" applyFont="1" applyBorder="1" applyAlignment="1">
      <alignment horizontal="left" vertical="top"/>
    </xf>
    <xf numFmtId="0" fontId="6" fillId="0" borderId="1" xfId="0" applyFont="1" applyBorder="1" applyAlignment="1" applyProtection="1">
      <alignment horizontal="left"/>
      <protection locked="0"/>
    </xf>
    <xf numFmtId="0" fontId="6" fillId="0" borderId="1" xfId="0" applyFont="1" applyBorder="1" applyAlignment="1" applyProtection="1">
      <alignment horizontal="left" vertical="top" wrapText="1"/>
      <protection locked="0"/>
    </xf>
    <xf numFmtId="0" fontId="6" fillId="0" borderId="14" xfId="0" applyFont="1" applyBorder="1" applyAlignment="1" applyProtection="1">
      <alignment horizontal="left" vertical="top" wrapText="1"/>
      <protection locked="0"/>
    </xf>
    <xf numFmtId="0" fontId="4" fillId="2" borderId="13" xfId="0" applyFont="1" applyFill="1" applyBorder="1" applyAlignment="1" applyProtection="1">
      <alignment horizontal="left" vertical="top"/>
    </xf>
    <xf numFmtId="0" fontId="4" fillId="2" borderId="1" xfId="0" applyFont="1" applyFill="1" applyBorder="1" applyAlignment="1" applyProtection="1">
      <alignment horizontal="left" vertical="top"/>
    </xf>
    <xf numFmtId="0" fontId="4" fillId="2" borderId="14" xfId="0" applyFont="1" applyFill="1" applyBorder="1" applyAlignment="1" applyProtection="1">
      <alignment horizontal="left" vertical="top"/>
    </xf>
    <xf numFmtId="0" fontId="3" fillId="2" borderId="1" xfId="0" applyFont="1" applyFill="1" applyBorder="1" applyAlignment="1" applyProtection="1">
      <alignment horizontal="left" vertical="top"/>
    </xf>
    <xf numFmtId="0" fontId="3" fillId="2" borderId="14" xfId="0" applyFont="1" applyFill="1" applyBorder="1" applyAlignment="1" applyProtection="1">
      <alignment horizontal="left" vertical="top"/>
    </xf>
    <xf numFmtId="0" fontId="2" fillId="0" borderId="14" xfId="0" applyFont="1" applyBorder="1" applyAlignment="1" applyProtection="1">
      <alignment horizontal="left" vertical="top" wrapText="1"/>
      <protection locked="0"/>
    </xf>
    <xf numFmtId="0" fontId="3" fillId="2" borderId="1" xfId="0" applyFont="1" applyFill="1" applyBorder="1" applyAlignment="1" applyProtection="1">
      <alignment horizontal="left"/>
    </xf>
    <xf numFmtId="0" fontId="5" fillId="3" borderId="47" xfId="0" applyFont="1" applyFill="1" applyBorder="1" applyAlignment="1" applyProtection="1">
      <alignment horizontal="center" vertical="top" wrapText="1"/>
    </xf>
    <xf numFmtId="0" fontId="5" fillId="3" borderId="58" xfId="0" applyFont="1" applyFill="1" applyBorder="1" applyAlignment="1" applyProtection="1">
      <alignment horizontal="center" vertical="top" wrapText="1"/>
    </xf>
    <xf numFmtId="0" fontId="20" fillId="0" borderId="0" xfId="0" applyFont="1" applyBorder="1" applyAlignment="1">
      <alignment horizontal="left" vertical="center" wrapText="1"/>
    </xf>
    <xf numFmtId="0" fontId="18" fillId="0" borderId="0" xfId="0" applyFont="1" applyBorder="1" applyAlignment="1">
      <alignment horizontal="left" vertical="center" wrapText="1"/>
    </xf>
    <xf numFmtId="0" fontId="19" fillId="0" borderId="0" xfId="0" applyFont="1" applyBorder="1" applyAlignment="1">
      <alignment horizontal="left" vertical="center" wrapText="1"/>
    </xf>
    <xf numFmtId="0" fontId="20" fillId="0" borderId="26" xfId="0" applyFont="1" applyBorder="1" applyAlignment="1">
      <alignment horizontal="left" vertical="center" wrapText="1"/>
    </xf>
    <xf numFmtId="0" fontId="20" fillId="0" borderId="27" xfId="0" applyFont="1" applyBorder="1" applyAlignment="1">
      <alignment horizontal="left" vertical="center" wrapText="1"/>
    </xf>
    <xf numFmtId="0" fontId="20" fillId="0" borderId="29" xfId="0" applyFont="1" applyBorder="1" applyAlignment="1">
      <alignment horizontal="left" vertical="center" wrapText="1"/>
    </xf>
    <xf numFmtId="0" fontId="18" fillId="0" borderId="26" xfId="0" applyFont="1" applyBorder="1" applyAlignment="1">
      <alignment vertical="center" wrapText="1"/>
    </xf>
    <xf numFmtId="0" fontId="18" fillId="0" borderId="27" xfId="0" applyFont="1" applyBorder="1" applyAlignment="1">
      <alignment vertical="center" wrapText="1"/>
    </xf>
    <xf numFmtId="0" fontId="18" fillId="0" borderId="29" xfId="0" applyFont="1" applyBorder="1" applyAlignment="1">
      <alignment vertical="center" wrapText="1"/>
    </xf>
    <xf numFmtId="0" fontId="18" fillId="0" borderId="0" xfId="0" applyFont="1" applyBorder="1" applyAlignment="1">
      <alignment vertical="center" wrapText="1"/>
    </xf>
    <xf numFmtId="0" fontId="2" fillId="0" borderId="26" xfId="0" applyFont="1" applyBorder="1" applyAlignment="1">
      <alignment horizontal="center"/>
    </xf>
    <xf numFmtId="0" fontId="2" fillId="0" borderId="27" xfId="0" applyFont="1" applyBorder="1" applyAlignment="1">
      <alignment horizontal="center"/>
    </xf>
    <xf numFmtId="0" fontId="23" fillId="8" borderId="8" xfId="1" applyFont="1" applyFill="1" applyBorder="1" applyAlignment="1">
      <alignment horizontal="left" vertical="center"/>
    </xf>
    <xf numFmtId="0" fontId="23" fillId="8" borderId="9" xfId="1" applyFont="1" applyFill="1" applyBorder="1" applyAlignment="1">
      <alignment horizontal="left" vertical="center"/>
    </xf>
    <xf numFmtId="0" fontId="23" fillId="8" borderId="10" xfId="1" applyFont="1" applyFill="1" applyBorder="1" applyAlignment="1">
      <alignment horizontal="left" vertical="center"/>
    </xf>
    <xf numFmtId="0" fontId="22" fillId="0" borderId="30" xfId="0" applyFont="1" applyFill="1" applyBorder="1" applyAlignment="1">
      <alignment horizontal="center"/>
    </xf>
    <xf numFmtId="0" fontId="22" fillId="0" borderId="31" xfId="0" applyFont="1" applyFill="1" applyBorder="1" applyAlignment="1">
      <alignment horizontal="center"/>
    </xf>
    <xf numFmtId="0" fontId="22" fillId="0" borderId="32" xfId="0" applyFont="1" applyFill="1" applyBorder="1" applyAlignment="1">
      <alignment horizontal="center"/>
    </xf>
    <xf numFmtId="0" fontId="22" fillId="5" borderId="33" xfId="0" applyFont="1" applyFill="1" applyBorder="1" applyAlignment="1">
      <alignment horizontal="center" vertical="center" textRotation="90"/>
    </xf>
    <xf numFmtId="0" fontId="22" fillId="5" borderId="38" xfId="0" applyFont="1" applyFill="1" applyBorder="1" applyAlignment="1">
      <alignment horizontal="center" vertical="center" textRotation="90"/>
    </xf>
    <xf numFmtId="0" fontId="22" fillId="5" borderId="46" xfId="0" applyFont="1" applyFill="1" applyBorder="1" applyAlignment="1">
      <alignment horizontal="center" vertical="center" textRotation="90"/>
    </xf>
    <xf numFmtId="0" fontId="23" fillId="6" borderId="35" xfId="1" applyFont="1" applyFill="1" applyBorder="1" applyAlignment="1">
      <alignment horizontal="left" vertical="center"/>
    </xf>
    <xf numFmtId="0" fontId="23" fillId="6" borderId="36" xfId="1" applyFont="1" applyFill="1" applyBorder="1" applyAlignment="1">
      <alignment horizontal="left" vertical="center"/>
    </xf>
    <xf numFmtId="0" fontId="23" fillId="6" borderId="37" xfId="1" applyFont="1" applyFill="1" applyBorder="1" applyAlignment="1">
      <alignment horizontal="left" vertical="center"/>
    </xf>
    <xf numFmtId="0" fontId="25" fillId="0" borderId="35" xfId="0" applyFont="1" applyFill="1" applyBorder="1" applyAlignment="1" applyProtection="1">
      <alignment horizontal="center"/>
      <protection locked="0"/>
    </xf>
    <xf numFmtId="0" fontId="25" fillId="0" borderId="37" xfId="0" applyFont="1" applyFill="1" applyBorder="1" applyAlignment="1" applyProtection="1">
      <alignment horizontal="center"/>
      <protection locked="0"/>
    </xf>
    <xf numFmtId="0" fontId="23" fillId="6" borderId="40" xfId="1" applyFont="1" applyFill="1" applyBorder="1" applyAlignment="1">
      <alignment horizontal="left" vertical="center"/>
    </xf>
    <xf numFmtId="0" fontId="23" fillId="6" borderId="3" xfId="1" applyFont="1" applyFill="1" applyBorder="1" applyAlignment="1">
      <alignment horizontal="left" vertical="center"/>
    </xf>
    <xf numFmtId="0" fontId="23" fillId="6" borderId="41" xfId="1" applyFont="1" applyFill="1" applyBorder="1" applyAlignment="1">
      <alignment horizontal="left" vertical="center"/>
    </xf>
    <xf numFmtId="0" fontId="25" fillId="0" borderId="40" xfId="0" applyFont="1" applyFill="1" applyBorder="1" applyAlignment="1" applyProtection="1">
      <alignment horizontal="center"/>
      <protection locked="0"/>
    </xf>
    <xf numFmtId="0" fontId="25" fillId="0" borderId="41" xfId="0" applyFont="1" applyFill="1" applyBorder="1" applyAlignment="1" applyProtection="1">
      <alignment horizontal="center"/>
      <protection locked="0"/>
    </xf>
    <xf numFmtId="0" fontId="23" fillId="6" borderId="43" xfId="1" applyFont="1" applyFill="1" applyBorder="1" applyAlignment="1">
      <alignment horizontal="left" vertical="center"/>
    </xf>
    <xf numFmtId="0" fontId="23" fillId="6" borderId="44" xfId="1" applyFont="1" applyFill="1" applyBorder="1" applyAlignment="1">
      <alignment horizontal="left" vertical="center"/>
    </xf>
    <xf numFmtId="0" fontId="23" fillId="6" borderId="45" xfId="1" applyFont="1" applyFill="1" applyBorder="1" applyAlignment="1">
      <alignment horizontal="left" vertical="center"/>
    </xf>
    <xf numFmtId="0" fontId="23" fillId="7" borderId="23" xfId="1" applyFont="1" applyFill="1" applyBorder="1" applyAlignment="1">
      <alignment horizontal="left" vertical="center"/>
    </xf>
    <xf numFmtId="0" fontId="23" fillId="7" borderId="24" xfId="1" applyFont="1" applyFill="1" applyBorder="1" applyAlignment="1">
      <alignment horizontal="left" vertical="center"/>
    </xf>
    <xf numFmtId="0" fontId="23" fillId="7" borderId="25" xfId="1" applyFont="1" applyFill="1" applyBorder="1" applyAlignment="1">
      <alignment horizontal="left" vertical="center"/>
    </xf>
    <xf numFmtId="0" fontId="25" fillId="0" borderId="18" xfId="0" applyFont="1" applyFill="1" applyBorder="1" applyAlignment="1" applyProtection="1">
      <alignment horizontal="center"/>
      <protection locked="0"/>
    </xf>
    <xf numFmtId="0" fontId="25" fillId="0" borderId="20" xfId="0" applyFont="1" applyFill="1" applyBorder="1" applyAlignment="1" applyProtection="1">
      <alignment horizontal="center"/>
      <protection locked="0"/>
    </xf>
    <xf numFmtId="0" fontId="23" fillId="8" borderId="13" xfId="1" applyFont="1" applyFill="1" applyBorder="1" applyAlignment="1">
      <alignment horizontal="left" vertical="center"/>
    </xf>
    <xf numFmtId="0" fontId="23" fillId="8" borderId="1" xfId="1" applyFont="1" applyFill="1" applyBorder="1" applyAlignment="1">
      <alignment horizontal="left" vertical="center"/>
    </xf>
    <xf numFmtId="0" fontId="23" fillId="8" borderId="14" xfId="1" applyFont="1" applyFill="1" applyBorder="1" applyAlignment="1">
      <alignment horizontal="left" vertical="center"/>
    </xf>
    <xf numFmtId="0" fontId="23" fillId="8" borderId="15" xfId="1" applyFont="1" applyFill="1" applyBorder="1" applyAlignment="1">
      <alignment horizontal="left" vertical="center"/>
    </xf>
    <xf numFmtId="0" fontId="23" fillId="8" borderId="16" xfId="1" applyFont="1" applyFill="1" applyBorder="1" applyAlignment="1">
      <alignment horizontal="left" vertical="center"/>
    </xf>
    <xf numFmtId="0" fontId="23" fillId="8" borderId="17" xfId="1" applyFont="1" applyFill="1" applyBorder="1" applyAlignment="1">
      <alignment horizontal="left" vertical="center"/>
    </xf>
    <xf numFmtId="0" fontId="23" fillId="9" borderId="49" xfId="1" applyFont="1" applyFill="1" applyBorder="1" applyAlignment="1">
      <alignment horizontal="left" vertical="center"/>
    </xf>
    <xf numFmtId="0" fontId="23" fillId="9" borderId="50" xfId="1" applyFont="1" applyFill="1" applyBorder="1" applyAlignment="1">
      <alignment horizontal="left" vertical="center"/>
    </xf>
    <xf numFmtId="0" fontId="23" fillId="9" borderId="51" xfId="1" applyFont="1" applyFill="1" applyBorder="1" applyAlignment="1">
      <alignment horizontal="left" vertical="center"/>
    </xf>
    <xf numFmtId="0" fontId="23" fillId="6" borderId="8" xfId="1" applyFont="1" applyFill="1" applyBorder="1" applyAlignment="1">
      <alignment vertical="center"/>
    </xf>
    <xf numFmtId="0" fontId="23" fillId="6" borderId="9" xfId="1" applyFont="1" applyFill="1" applyBorder="1" applyAlignment="1">
      <alignment vertical="center"/>
    </xf>
    <xf numFmtId="0" fontId="23" fillId="6" borderId="10" xfId="1" applyFont="1" applyFill="1" applyBorder="1" applyAlignment="1">
      <alignment vertical="center"/>
    </xf>
    <xf numFmtId="0" fontId="23" fillId="6" borderId="40" xfId="1" applyFont="1" applyFill="1" applyBorder="1" applyAlignment="1">
      <alignment vertical="center"/>
    </xf>
    <xf numFmtId="0" fontId="23" fillId="6" borderId="3" xfId="1" applyFont="1" applyFill="1" applyBorder="1" applyAlignment="1">
      <alignment vertical="center"/>
    </xf>
    <xf numFmtId="0" fontId="23" fillId="6" borderId="41" xfId="1" applyFont="1" applyFill="1" applyBorder="1" applyAlignment="1">
      <alignment vertical="center"/>
    </xf>
    <xf numFmtId="0" fontId="23" fillId="9" borderId="8" xfId="1" applyFont="1" applyFill="1" applyBorder="1" applyAlignment="1">
      <alignment horizontal="left" vertical="center"/>
    </xf>
    <xf numFmtId="0" fontId="23" fillId="9" borderId="9" xfId="1" applyFont="1" applyFill="1" applyBorder="1" applyAlignment="1">
      <alignment horizontal="left" vertical="center"/>
    </xf>
    <xf numFmtId="0" fontId="23" fillId="9" borderId="10" xfId="1" applyFont="1" applyFill="1" applyBorder="1" applyAlignment="1">
      <alignment horizontal="left" vertical="center"/>
    </xf>
    <xf numFmtId="0" fontId="23" fillId="9" borderId="15" xfId="1" applyFont="1" applyFill="1" applyBorder="1" applyAlignment="1">
      <alignment horizontal="left" vertical="center"/>
    </xf>
    <xf numFmtId="0" fontId="23" fillId="9" borderId="16" xfId="1" applyFont="1" applyFill="1" applyBorder="1" applyAlignment="1">
      <alignment horizontal="left" vertical="center"/>
    </xf>
    <xf numFmtId="0" fontId="23" fillId="9" borderId="17" xfId="1" applyFont="1" applyFill="1" applyBorder="1" applyAlignment="1">
      <alignment horizontal="left" vertical="center"/>
    </xf>
    <xf numFmtId="0" fontId="23" fillId="8" borderId="53" xfId="1" applyFont="1" applyFill="1" applyBorder="1" applyAlignment="1">
      <alignment horizontal="left" vertical="center"/>
    </xf>
    <xf numFmtId="0" fontId="23" fillId="8" borderId="5" xfId="1" applyFont="1" applyFill="1" applyBorder="1" applyAlignment="1">
      <alignment horizontal="left" vertical="center"/>
    </xf>
    <xf numFmtId="0" fontId="23" fillId="8" borderId="54" xfId="1" applyFont="1" applyFill="1" applyBorder="1" applyAlignment="1">
      <alignment horizontal="left" vertical="center"/>
    </xf>
    <xf numFmtId="0" fontId="23" fillId="6" borderId="43" xfId="1" applyFont="1" applyFill="1" applyBorder="1" applyAlignment="1">
      <alignment vertical="center"/>
    </xf>
    <xf numFmtId="0" fontId="23" fillId="6" borderId="44" xfId="1" applyFont="1" applyFill="1" applyBorder="1" applyAlignment="1">
      <alignment vertical="center"/>
    </xf>
    <xf numFmtId="0" fontId="23" fillId="6" borderId="45" xfId="1" applyFont="1" applyFill="1" applyBorder="1" applyAlignment="1">
      <alignment vertical="center"/>
    </xf>
    <xf numFmtId="0" fontId="25" fillId="0" borderId="43" xfId="0" applyFont="1" applyFill="1" applyBorder="1" applyAlignment="1" applyProtection="1">
      <alignment horizontal="center"/>
      <protection locked="0"/>
    </xf>
    <xf numFmtId="0" fontId="25" fillId="0" borderId="45" xfId="0" applyFont="1" applyFill="1" applyBorder="1" applyAlignment="1" applyProtection="1">
      <alignment horizontal="center"/>
      <protection locked="0"/>
    </xf>
    <xf numFmtId="0" fontId="24" fillId="6" borderId="13" xfId="1" applyFont="1" applyFill="1" applyBorder="1" applyAlignment="1">
      <alignment vertical="center"/>
    </xf>
    <xf numFmtId="0" fontId="24" fillId="6" borderId="1" xfId="1" applyFont="1" applyFill="1" applyBorder="1" applyAlignment="1">
      <alignment vertical="center"/>
    </xf>
    <xf numFmtId="0" fontId="24" fillId="6" borderId="14" xfId="1" applyFont="1" applyFill="1" applyBorder="1" applyAlignment="1">
      <alignment vertical="center"/>
    </xf>
    <xf numFmtId="0" fontId="22" fillId="0" borderId="0" xfId="0" applyFont="1" applyFill="1" applyBorder="1" applyAlignment="1">
      <alignment horizontal="center"/>
    </xf>
    <xf numFmtId="0" fontId="22" fillId="5" borderId="11" xfId="0" applyFont="1" applyFill="1" applyBorder="1" applyAlignment="1">
      <alignment horizontal="center" vertical="center" textRotation="90"/>
    </xf>
    <xf numFmtId="0" fontId="22" fillId="5" borderId="23" xfId="0" applyFont="1" applyFill="1" applyBorder="1" applyAlignment="1">
      <alignment horizontal="center" vertical="center" textRotation="90"/>
    </xf>
    <xf numFmtId="0" fontId="23" fillId="6" borderId="55" xfId="1" applyFont="1" applyFill="1" applyBorder="1" applyAlignment="1">
      <alignment horizontal="left" vertical="center"/>
    </xf>
    <xf numFmtId="0" fontId="23" fillId="6" borderId="26" xfId="1" applyFont="1" applyFill="1" applyBorder="1" applyAlignment="1">
      <alignment horizontal="left" vertical="center"/>
    </xf>
    <xf numFmtId="0" fontId="23" fillId="6" borderId="56" xfId="1" applyFont="1" applyFill="1" applyBorder="1" applyAlignment="1">
      <alignment horizontal="left" vertical="center"/>
    </xf>
    <xf numFmtId="0" fontId="23" fillId="7" borderId="18" xfId="1" applyFont="1" applyFill="1" applyBorder="1" applyAlignment="1">
      <alignment horizontal="left" vertical="center"/>
    </xf>
    <xf numFmtId="0" fontId="23" fillId="7" borderId="19" xfId="1" applyFont="1" applyFill="1" applyBorder="1" applyAlignment="1">
      <alignment horizontal="left" vertical="center"/>
    </xf>
    <xf numFmtId="0" fontId="23" fillId="7" borderId="20" xfId="1" applyFont="1" applyFill="1" applyBorder="1" applyAlignment="1">
      <alignment horizontal="left" vertical="center"/>
    </xf>
    <xf numFmtId="0" fontId="11" fillId="0" borderId="43" xfId="0" applyFont="1" applyFill="1" applyBorder="1" applyAlignment="1" applyProtection="1">
      <alignment horizontal="center"/>
      <protection locked="0"/>
    </xf>
    <xf numFmtId="0" fontId="11" fillId="0" borderId="45" xfId="0" applyFont="1" applyFill="1" applyBorder="1" applyAlignment="1" applyProtection="1">
      <alignment horizontal="center"/>
      <protection locked="0"/>
    </xf>
    <xf numFmtId="0" fontId="18" fillId="0" borderId="30" xfId="0" applyFont="1" applyBorder="1" applyAlignment="1" applyProtection="1">
      <alignment horizontal="left" vertical="top"/>
      <protection locked="0"/>
    </xf>
    <xf numFmtId="0" fontId="18" fillId="0" borderId="31" xfId="0" applyFont="1" applyBorder="1" applyAlignment="1" applyProtection="1">
      <alignment horizontal="left" vertical="top"/>
      <protection locked="0"/>
    </xf>
    <xf numFmtId="0" fontId="18" fillId="0" borderId="32" xfId="0" applyFont="1" applyBorder="1" applyAlignment="1" applyProtection="1">
      <alignment horizontal="left" vertical="top"/>
      <protection locked="0"/>
    </xf>
    <xf numFmtId="0" fontId="18" fillId="0" borderId="11" xfId="0" applyFont="1" applyBorder="1" applyAlignment="1" applyProtection="1">
      <alignment horizontal="left" vertical="top"/>
      <protection locked="0"/>
    </xf>
    <xf numFmtId="0" fontId="18" fillId="0" borderId="0" xfId="0" applyFont="1" applyBorder="1" applyAlignment="1" applyProtection="1">
      <alignment horizontal="left" vertical="top"/>
      <protection locked="0"/>
    </xf>
    <xf numFmtId="0" fontId="18" fillId="0" borderId="12" xfId="0" applyFont="1" applyBorder="1" applyAlignment="1" applyProtection="1">
      <alignment horizontal="left" vertical="top"/>
      <protection locked="0"/>
    </xf>
    <xf numFmtId="0" fontId="18" fillId="0" borderId="23" xfId="0" applyFont="1" applyBorder="1" applyAlignment="1" applyProtection="1">
      <alignment horizontal="left" vertical="top"/>
      <protection locked="0"/>
    </xf>
    <xf numFmtId="0" fontId="18" fillId="0" borderId="24" xfId="0" applyFont="1" applyBorder="1" applyAlignment="1" applyProtection="1">
      <alignment horizontal="left" vertical="top"/>
      <protection locked="0"/>
    </xf>
    <xf numFmtId="0" fontId="18" fillId="0" borderId="25" xfId="0" applyFont="1" applyBorder="1" applyAlignment="1" applyProtection="1">
      <alignment horizontal="left" vertical="top"/>
      <protection locked="0"/>
    </xf>
    <xf numFmtId="0" fontId="19" fillId="0" borderId="18" xfId="0" applyFont="1" applyBorder="1" applyAlignment="1">
      <alignment horizontal="left"/>
    </xf>
    <xf numFmtId="0" fontId="19" fillId="0" borderId="19" xfId="0" applyFont="1" applyBorder="1" applyAlignment="1">
      <alignment horizontal="left"/>
    </xf>
    <xf numFmtId="0" fontId="19" fillId="0" borderId="20" xfId="0" applyFont="1" applyBorder="1" applyAlignment="1">
      <alignment horizontal="left"/>
    </xf>
    <xf numFmtId="0" fontId="22" fillId="5" borderId="30" xfId="0" applyFont="1" applyFill="1" applyBorder="1" applyAlignment="1">
      <alignment horizontal="center" vertical="center" textRotation="90"/>
    </xf>
    <xf numFmtId="0" fontId="23" fillId="7" borderId="8" xfId="1" applyFont="1" applyFill="1" applyBorder="1" applyAlignment="1">
      <alignment horizontal="left" vertical="center"/>
    </xf>
    <xf numFmtId="0" fontId="23" fillId="7" borderId="9" xfId="1" applyFont="1" applyFill="1" applyBorder="1" applyAlignment="1">
      <alignment horizontal="left" vertical="center"/>
    </xf>
    <xf numFmtId="0" fontId="23" fillId="7" borderId="10" xfId="1" applyFont="1" applyFill="1" applyBorder="1" applyAlignment="1">
      <alignment horizontal="left" vertical="center"/>
    </xf>
    <xf numFmtId="0" fontId="23" fillId="7" borderId="13" xfId="1" applyFont="1" applyFill="1" applyBorder="1" applyAlignment="1">
      <alignment horizontal="left" vertical="center"/>
    </xf>
    <xf numFmtId="0" fontId="23" fillId="7" borderId="1" xfId="1" applyFont="1" applyFill="1" applyBorder="1" applyAlignment="1">
      <alignment horizontal="left" vertical="center"/>
    </xf>
    <xf numFmtId="0" fontId="23" fillId="7" borderId="14" xfId="1" applyFont="1" applyFill="1" applyBorder="1" applyAlignment="1">
      <alignment horizontal="left" vertical="center"/>
    </xf>
    <xf numFmtId="0" fontId="23" fillId="7" borderId="53" xfId="1" applyFont="1" applyFill="1" applyBorder="1" applyAlignment="1">
      <alignment horizontal="left" vertical="center"/>
    </xf>
    <xf numFmtId="0" fontId="23" fillId="7" borderId="5" xfId="1" applyFont="1" applyFill="1" applyBorder="1" applyAlignment="1">
      <alignment horizontal="left" vertical="center"/>
    </xf>
    <xf numFmtId="0" fontId="23" fillId="7" borderId="54" xfId="1" applyFont="1" applyFill="1" applyBorder="1" applyAlignment="1">
      <alignment horizontal="left" vertical="center"/>
    </xf>
    <xf numFmtId="0" fontId="11" fillId="0" borderId="35" xfId="0" applyFont="1" applyFill="1" applyBorder="1" applyAlignment="1" applyProtection="1">
      <alignment horizontal="center"/>
      <protection locked="0"/>
    </xf>
    <xf numFmtId="0" fontId="11" fillId="0" borderId="37" xfId="0" applyFont="1" applyFill="1" applyBorder="1" applyAlignment="1" applyProtection="1">
      <alignment horizontal="center"/>
      <protection locked="0"/>
    </xf>
    <xf numFmtId="0" fontId="23" fillId="9" borderId="47" xfId="1" applyFont="1" applyFill="1" applyBorder="1" applyAlignment="1">
      <alignment horizontal="left" vertical="center"/>
    </xf>
    <xf numFmtId="0" fontId="23" fillId="9" borderId="13" xfId="1" applyFont="1" applyFill="1" applyBorder="1" applyAlignment="1">
      <alignment horizontal="left" vertical="center"/>
    </xf>
    <xf numFmtId="0" fontId="23" fillId="9" borderId="1" xfId="1" applyFont="1" applyFill="1" applyBorder="1" applyAlignment="1">
      <alignment horizontal="left" vertical="center"/>
    </xf>
    <xf numFmtId="0" fontId="23" fillId="9" borderId="2" xfId="1" applyFont="1" applyFill="1" applyBorder="1" applyAlignment="1">
      <alignment horizontal="left" vertical="center"/>
    </xf>
    <xf numFmtId="0" fontId="23" fillId="9" borderId="48" xfId="1" applyFont="1" applyFill="1" applyBorder="1" applyAlignment="1">
      <alignment horizontal="left" vertical="center"/>
    </xf>
    <xf numFmtId="0" fontId="25" fillId="0" borderId="15" xfId="0" applyFont="1" applyFill="1" applyBorder="1" applyAlignment="1">
      <alignment horizontal="center"/>
    </xf>
    <xf numFmtId="0" fontId="25" fillId="0" borderId="17" xfId="0" applyFont="1" applyFill="1" applyBorder="1" applyAlignment="1">
      <alignment horizontal="center"/>
    </xf>
    <xf numFmtId="0" fontId="23" fillId="8" borderId="55" xfId="1" applyFont="1" applyFill="1" applyBorder="1" applyAlignment="1">
      <alignment horizontal="left" vertical="center"/>
    </xf>
    <xf numFmtId="0" fontId="23" fillId="8" borderId="26" xfId="1" applyFont="1" applyFill="1" applyBorder="1" applyAlignment="1">
      <alignment horizontal="left" vertical="center"/>
    </xf>
    <xf numFmtId="0" fontId="23" fillId="8" borderId="56" xfId="1" applyFont="1" applyFill="1" applyBorder="1" applyAlignment="1">
      <alignment horizontal="left" vertical="center"/>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3" fillId="8" borderId="60" xfId="1" applyFont="1" applyFill="1" applyBorder="1" applyAlignment="1">
      <alignment horizontal="left" vertical="center"/>
    </xf>
    <xf numFmtId="0" fontId="23" fillId="8" borderId="6" xfId="1" applyFont="1" applyFill="1" applyBorder="1" applyAlignment="1">
      <alignment horizontal="left" vertical="center"/>
    </xf>
    <xf numFmtId="0" fontId="23" fillId="8" borderId="61" xfId="1" applyFont="1" applyFill="1" applyBorder="1" applyAlignment="1">
      <alignment horizontal="left" vertical="center"/>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3" fillId="10" borderId="40" xfId="1" applyFont="1" applyFill="1" applyBorder="1" applyAlignment="1">
      <alignment horizontal="left" vertical="center"/>
    </xf>
    <xf numFmtId="0" fontId="23" fillId="10" borderId="3" xfId="1" applyFont="1" applyFill="1" applyBorder="1" applyAlignment="1">
      <alignment horizontal="left" vertical="center"/>
    </xf>
    <xf numFmtId="0" fontId="23" fillId="6" borderId="49" xfId="1" applyFont="1" applyFill="1" applyBorder="1" applyAlignment="1">
      <alignment vertical="center"/>
    </xf>
    <xf numFmtId="0" fontId="23" fillId="6" borderId="50" xfId="1" applyFont="1" applyFill="1" applyBorder="1" applyAlignment="1">
      <alignment vertical="center"/>
    </xf>
    <xf numFmtId="0" fontId="23" fillId="6" borderId="63" xfId="1" applyFont="1" applyFill="1" applyBorder="1" applyAlignment="1">
      <alignment vertical="center"/>
    </xf>
    <xf numFmtId="0" fontId="23" fillId="8" borderId="4" xfId="1" applyFont="1" applyFill="1" applyBorder="1" applyAlignment="1">
      <alignment horizontal="left" vertical="center"/>
    </xf>
    <xf numFmtId="0" fontId="23" fillId="8" borderId="2" xfId="1" applyFont="1" applyFill="1" applyBorder="1" applyAlignment="1">
      <alignment horizontal="left" vertical="center"/>
    </xf>
    <xf numFmtId="0" fontId="23" fillId="8" borderId="62" xfId="1" applyFont="1" applyFill="1" applyBorder="1" applyAlignment="1">
      <alignment horizontal="left" vertical="center"/>
    </xf>
    <xf numFmtId="0" fontId="23" fillId="8" borderId="48" xfId="1" applyFont="1" applyFill="1" applyBorder="1" applyAlignment="1">
      <alignment horizontal="left" vertical="center"/>
    </xf>
    <xf numFmtId="0" fontId="23" fillId="9" borderId="4" xfId="1" applyFont="1" applyFill="1" applyBorder="1" applyAlignment="1">
      <alignment horizontal="left" vertical="center"/>
    </xf>
    <xf numFmtId="0" fontId="23" fillId="9" borderId="62" xfId="1" applyFont="1" applyFill="1" applyBorder="1" applyAlignment="1">
      <alignment horizontal="left" vertical="center"/>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11" fillId="0" borderId="13" xfId="0" applyFont="1" applyFill="1" applyBorder="1" applyAlignment="1" applyProtection="1">
      <alignment horizontal="center"/>
      <protection locked="0"/>
    </xf>
    <xf numFmtId="0" fontId="11" fillId="0" borderId="14" xfId="0" applyFont="1" applyFill="1" applyBorder="1" applyAlignment="1" applyProtection="1">
      <alignment horizontal="center"/>
      <protection locked="0"/>
    </xf>
    <xf numFmtId="0" fontId="23" fillId="7" borderId="47" xfId="1" applyFont="1" applyFill="1" applyBorder="1" applyAlignment="1">
      <alignment horizontal="left" vertical="center"/>
    </xf>
    <xf numFmtId="0" fontId="23" fillId="7" borderId="2" xfId="1" applyFont="1" applyFill="1" applyBorder="1" applyAlignment="1">
      <alignment horizontal="left" vertical="center"/>
    </xf>
    <xf numFmtId="0" fontId="11" fillId="0" borderId="15" xfId="0" applyFont="1" applyFill="1" applyBorder="1" applyAlignment="1" applyProtection="1">
      <alignment horizontal="center"/>
      <protection locked="0"/>
    </xf>
    <xf numFmtId="0" fontId="11" fillId="0" borderId="17" xfId="0" applyFont="1" applyFill="1" applyBorder="1" applyAlignment="1" applyProtection="1">
      <alignment horizontal="center"/>
      <protection locked="0"/>
    </xf>
    <xf numFmtId="0" fontId="28" fillId="0" borderId="15" xfId="0" applyFont="1" applyBorder="1" applyAlignment="1">
      <alignment horizontal="center"/>
    </xf>
    <xf numFmtId="0" fontId="28" fillId="0" borderId="17" xfId="0" applyFont="1" applyBorder="1" applyAlignment="1">
      <alignment horizontal="center"/>
    </xf>
    <xf numFmtId="0" fontId="29" fillId="0" borderId="36" xfId="0" applyFont="1" applyBorder="1" applyAlignment="1">
      <alignment horizontal="left"/>
    </xf>
    <xf numFmtId="0" fontId="29" fillId="0" borderId="58" xfId="0" applyFont="1" applyBorder="1" applyAlignment="1">
      <alignment horizontal="left"/>
    </xf>
    <xf numFmtId="0" fontId="29" fillId="0" borderId="3" xfId="0" applyFont="1" applyBorder="1" applyAlignment="1">
      <alignment horizontal="left"/>
    </xf>
    <xf numFmtId="0" fontId="29" fillId="0" borderId="4" xfId="0" applyFont="1" applyBorder="1" applyAlignment="1">
      <alignment horizontal="left"/>
    </xf>
    <xf numFmtId="0" fontId="29" fillId="0" borderId="44" xfId="0" applyFont="1" applyBorder="1" applyAlignment="1">
      <alignment horizontal="left"/>
    </xf>
    <xf numFmtId="0" fontId="29" fillId="0" borderId="62" xfId="0" applyFont="1" applyBorder="1" applyAlignment="1">
      <alignment horizontal="left"/>
    </xf>
    <xf numFmtId="0" fontId="28" fillId="0" borderId="30" xfId="0" applyFont="1" applyBorder="1" applyAlignment="1">
      <alignment horizontal="left"/>
    </xf>
    <xf numFmtId="0" fontId="28" fillId="0" borderId="31" xfId="0" applyFont="1" applyBorder="1" applyAlignment="1">
      <alignment horizontal="left"/>
    </xf>
    <xf numFmtId="0" fontId="28" fillId="0" borderId="32" xfId="0" applyFont="1" applyBorder="1" applyAlignment="1">
      <alignment horizontal="left"/>
    </xf>
    <xf numFmtId="0" fontId="28" fillId="0" borderId="8" xfId="0" applyFont="1" applyBorder="1" applyAlignment="1">
      <alignment horizontal="center"/>
    </xf>
    <xf numFmtId="0" fontId="28" fillId="0" borderId="10" xfId="0" applyFont="1" applyBorder="1" applyAlignment="1">
      <alignment horizontal="center"/>
    </xf>
    <xf numFmtId="0" fontId="28" fillId="0" borderId="13" xfId="0" applyFont="1" applyBorder="1" applyAlignment="1">
      <alignment horizontal="center"/>
    </xf>
    <xf numFmtId="0" fontId="28" fillId="0" borderId="14" xfId="0" applyFont="1" applyBorder="1" applyAlignment="1">
      <alignment horizontal="center"/>
    </xf>
    <xf numFmtId="0" fontId="11" fillId="7" borderId="1" xfId="0" applyFont="1" applyFill="1" applyBorder="1" applyAlignment="1">
      <alignment horizontal="left" vertical="center"/>
    </xf>
    <xf numFmtId="0" fontId="11" fillId="7" borderId="2" xfId="0" applyFont="1" applyFill="1" applyBorder="1" applyAlignment="1">
      <alignment horizontal="left" vertical="center"/>
    </xf>
    <xf numFmtId="0" fontId="23" fillId="7" borderId="15" xfId="1" applyFont="1" applyFill="1" applyBorder="1" applyAlignment="1">
      <alignment horizontal="left" vertical="center"/>
    </xf>
    <xf numFmtId="0" fontId="11" fillId="7" borderId="16" xfId="0" applyFont="1" applyFill="1" applyBorder="1" applyAlignment="1">
      <alignment horizontal="left" vertical="center"/>
    </xf>
    <xf numFmtId="0" fontId="11" fillId="7" borderId="48" xfId="0" applyFont="1" applyFill="1" applyBorder="1" applyAlignment="1">
      <alignment horizontal="left" vertical="center"/>
    </xf>
    <xf numFmtId="0" fontId="23" fillId="8" borderId="40" xfId="1" applyFont="1" applyFill="1" applyBorder="1" applyAlignment="1">
      <alignment horizontal="left" vertical="center"/>
    </xf>
    <xf numFmtId="0" fontId="23" fillId="8" borderId="3" xfId="1" applyFont="1" applyFill="1" applyBorder="1" applyAlignment="1">
      <alignment horizontal="left" vertical="center"/>
    </xf>
    <xf numFmtId="0" fontId="23" fillId="8" borderId="41" xfId="1" applyFont="1" applyFill="1" applyBorder="1" applyAlignment="1">
      <alignment horizontal="left" vertical="center"/>
    </xf>
    <xf numFmtId="0" fontId="2" fillId="0" borderId="0" xfId="0" applyFont="1" applyAlignment="1">
      <alignment horizontal="center" vertical="center" textRotation="90" wrapText="1"/>
    </xf>
    <xf numFmtId="0" fontId="13" fillId="0" borderId="0" xfId="0" applyFont="1" applyAlignment="1">
      <alignment horizontal="left" vertical="top" wrapText="1"/>
    </xf>
  </cellXfs>
  <cellStyles count="2">
    <cellStyle name="Normal" xfId="0" builtinId="0"/>
    <cellStyle name="Normal 2" xfId="1"/>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669E40"/>
      <color rgb="FF000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layout/>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143664360"/>
        <c:axId val="143664752"/>
      </c:lineChart>
      <c:catAx>
        <c:axId val="143664360"/>
        <c:scaling>
          <c:orientation val="minMax"/>
        </c:scaling>
        <c:delete val="1"/>
        <c:axPos val="b"/>
        <c:majorTickMark val="none"/>
        <c:minorTickMark val="none"/>
        <c:tickLblPos val="nextTo"/>
        <c:crossAx val="143664752"/>
        <c:crosses val="autoZero"/>
        <c:auto val="1"/>
        <c:lblAlgn val="ctr"/>
        <c:lblOffset val="100"/>
        <c:noMultiLvlLbl val="0"/>
      </c:catAx>
      <c:valAx>
        <c:axId val="143664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143664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layout/>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19649032"/>
        <c:axId val="319642368"/>
      </c:lineChart>
      <c:catAx>
        <c:axId val="319649032"/>
        <c:scaling>
          <c:orientation val="minMax"/>
        </c:scaling>
        <c:delete val="1"/>
        <c:axPos val="b"/>
        <c:majorTickMark val="none"/>
        <c:minorTickMark val="none"/>
        <c:tickLblPos val="nextTo"/>
        <c:crossAx val="319642368"/>
        <c:crosses val="autoZero"/>
        <c:auto val="1"/>
        <c:lblAlgn val="ctr"/>
        <c:lblOffset val="100"/>
        <c:noMultiLvlLbl val="0"/>
      </c:catAx>
      <c:valAx>
        <c:axId val="319642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19649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9641976"/>
        <c:axId val="319648640"/>
      </c:lineChart>
      <c:catAx>
        <c:axId val="3196419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648640"/>
        <c:crosses val="autoZero"/>
        <c:auto val="1"/>
        <c:lblAlgn val="ctr"/>
        <c:lblOffset val="100"/>
        <c:noMultiLvlLbl val="0"/>
      </c:catAx>
      <c:valAx>
        <c:axId val="3196486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641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9643152"/>
        <c:axId val="319647464"/>
      </c:lineChart>
      <c:catAx>
        <c:axId val="3196431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647464"/>
        <c:crosses val="autoZero"/>
        <c:auto val="1"/>
        <c:lblAlgn val="ctr"/>
        <c:lblOffset val="100"/>
        <c:noMultiLvlLbl val="0"/>
      </c:catAx>
      <c:valAx>
        <c:axId val="3196474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643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9643544"/>
        <c:axId val="319643936"/>
      </c:lineChart>
      <c:catAx>
        <c:axId val="3196435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643936"/>
        <c:crosses val="autoZero"/>
        <c:auto val="1"/>
        <c:lblAlgn val="ctr"/>
        <c:lblOffset val="100"/>
        <c:noMultiLvlLbl val="0"/>
      </c:catAx>
      <c:valAx>
        <c:axId val="3196439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643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9648248"/>
        <c:axId val="319645896"/>
      </c:lineChart>
      <c:catAx>
        <c:axId val="3196482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645896"/>
        <c:crosses val="autoZero"/>
        <c:auto val="1"/>
        <c:lblAlgn val="ctr"/>
        <c:lblOffset val="100"/>
        <c:noMultiLvlLbl val="0"/>
      </c:catAx>
      <c:valAx>
        <c:axId val="3196458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648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9644720"/>
        <c:axId val="319645112"/>
      </c:lineChart>
      <c:catAx>
        <c:axId val="3196447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645112"/>
        <c:crosses val="autoZero"/>
        <c:auto val="1"/>
        <c:lblAlgn val="ctr"/>
        <c:lblOffset val="100"/>
        <c:noMultiLvlLbl val="0"/>
      </c:catAx>
      <c:valAx>
        <c:axId val="3196451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644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9646288"/>
        <c:axId val="319646680"/>
      </c:lineChart>
      <c:catAx>
        <c:axId val="319646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646680"/>
        <c:crosses val="autoZero"/>
        <c:auto val="1"/>
        <c:lblAlgn val="ctr"/>
        <c:lblOffset val="100"/>
        <c:noMultiLvlLbl val="0"/>
      </c:catAx>
      <c:valAx>
        <c:axId val="3196466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646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206664"/>
        <c:axId val="320205096"/>
      </c:lineChart>
      <c:catAx>
        <c:axId val="3202066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205096"/>
        <c:crosses val="autoZero"/>
        <c:auto val="1"/>
        <c:lblAlgn val="ctr"/>
        <c:lblOffset val="100"/>
        <c:noMultiLvlLbl val="0"/>
      </c:catAx>
      <c:valAx>
        <c:axId val="3202050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206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207056"/>
        <c:axId val="320203528"/>
      </c:lineChart>
      <c:catAx>
        <c:axId val="3202070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203528"/>
        <c:crosses val="autoZero"/>
        <c:auto val="1"/>
        <c:lblAlgn val="ctr"/>
        <c:lblOffset val="100"/>
        <c:noMultiLvlLbl val="0"/>
      </c:catAx>
      <c:valAx>
        <c:axId val="3202035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207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205880"/>
        <c:axId val="320209016"/>
      </c:lineChart>
      <c:catAx>
        <c:axId val="3202058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209016"/>
        <c:crosses val="autoZero"/>
        <c:auto val="1"/>
        <c:lblAlgn val="ctr"/>
        <c:lblOffset val="100"/>
        <c:noMultiLvlLbl val="0"/>
      </c:catAx>
      <c:valAx>
        <c:axId val="3202090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205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209408"/>
        <c:axId val="320206272"/>
      </c:lineChart>
      <c:catAx>
        <c:axId val="3202094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206272"/>
        <c:crosses val="autoZero"/>
        <c:auto val="1"/>
        <c:lblAlgn val="ctr"/>
        <c:lblOffset val="100"/>
        <c:noMultiLvlLbl val="0"/>
      </c:catAx>
      <c:valAx>
        <c:axId val="3202062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209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209800"/>
        <c:axId val="320203920"/>
      </c:lineChart>
      <c:catAx>
        <c:axId val="3202098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203920"/>
        <c:crosses val="autoZero"/>
        <c:auto val="1"/>
        <c:lblAlgn val="ctr"/>
        <c:lblOffset val="100"/>
        <c:noMultiLvlLbl val="0"/>
      </c:catAx>
      <c:valAx>
        <c:axId val="3202039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209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204312"/>
        <c:axId val="320204704"/>
      </c:lineChart>
      <c:catAx>
        <c:axId val="3202043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204704"/>
        <c:crosses val="autoZero"/>
        <c:auto val="1"/>
        <c:lblAlgn val="ctr"/>
        <c:lblOffset val="100"/>
        <c:noMultiLvlLbl val="0"/>
      </c:catAx>
      <c:valAx>
        <c:axId val="3202047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204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layout/>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20208624"/>
        <c:axId val="320411528"/>
      </c:lineChart>
      <c:catAx>
        <c:axId val="320208624"/>
        <c:scaling>
          <c:orientation val="minMax"/>
        </c:scaling>
        <c:delete val="1"/>
        <c:axPos val="b"/>
        <c:majorTickMark val="none"/>
        <c:minorTickMark val="none"/>
        <c:tickLblPos val="nextTo"/>
        <c:crossAx val="320411528"/>
        <c:crosses val="autoZero"/>
        <c:auto val="1"/>
        <c:lblAlgn val="ctr"/>
        <c:lblOffset val="100"/>
        <c:noMultiLvlLbl val="0"/>
      </c:catAx>
      <c:valAx>
        <c:axId val="320411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20208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20406824"/>
        <c:axId val="320411136"/>
      </c:lineChart>
      <c:catAx>
        <c:axId val="320406824"/>
        <c:scaling>
          <c:orientation val="minMax"/>
        </c:scaling>
        <c:delete val="1"/>
        <c:axPos val="b"/>
        <c:majorTickMark val="none"/>
        <c:minorTickMark val="none"/>
        <c:tickLblPos val="nextTo"/>
        <c:crossAx val="320411136"/>
        <c:crosses val="autoZero"/>
        <c:auto val="1"/>
        <c:lblAlgn val="ctr"/>
        <c:lblOffset val="100"/>
        <c:noMultiLvlLbl val="0"/>
      </c:catAx>
      <c:valAx>
        <c:axId val="320411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20406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20409568"/>
        <c:axId val="320410744"/>
      </c:lineChart>
      <c:catAx>
        <c:axId val="320409568"/>
        <c:scaling>
          <c:orientation val="minMax"/>
        </c:scaling>
        <c:delete val="1"/>
        <c:axPos val="b"/>
        <c:majorTickMark val="none"/>
        <c:minorTickMark val="none"/>
        <c:tickLblPos val="nextTo"/>
        <c:crossAx val="320410744"/>
        <c:crosses val="autoZero"/>
        <c:auto val="1"/>
        <c:lblAlgn val="ctr"/>
        <c:lblOffset val="100"/>
        <c:noMultiLvlLbl val="0"/>
      </c:catAx>
      <c:valAx>
        <c:axId val="320410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20409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406432"/>
        <c:axId val="320409960"/>
      </c:lineChart>
      <c:catAx>
        <c:axId val="3204064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409960"/>
        <c:crosses val="autoZero"/>
        <c:auto val="1"/>
        <c:lblAlgn val="ctr"/>
        <c:lblOffset val="100"/>
        <c:noMultiLvlLbl val="0"/>
      </c:catAx>
      <c:valAx>
        <c:axId val="3204099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406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404864"/>
        <c:axId val="320410352"/>
      </c:lineChart>
      <c:catAx>
        <c:axId val="32040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410352"/>
        <c:crosses val="autoZero"/>
        <c:auto val="1"/>
        <c:lblAlgn val="ctr"/>
        <c:lblOffset val="100"/>
        <c:noMultiLvlLbl val="0"/>
      </c:catAx>
      <c:valAx>
        <c:axId val="3204103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404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407216"/>
        <c:axId val="320405256"/>
      </c:lineChart>
      <c:catAx>
        <c:axId val="3204072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405256"/>
        <c:crosses val="autoZero"/>
        <c:auto val="1"/>
        <c:lblAlgn val="ctr"/>
        <c:lblOffset val="100"/>
        <c:noMultiLvlLbl val="0"/>
      </c:catAx>
      <c:valAx>
        <c:axId val="3204052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407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0407608"/>
        <c:axId val="320408000"/>
      </c:lineChart>
      <c:catAx>
        <c:axId val="3204076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408000"/>
        <c:crosses val="autoZero"/>
        <c:auto val="1"/>
        <c:lblAlgn val="ctr"/>
        <c:lblOffset val="100"/>
        <c:noMultiLvlLbl val="0"/>
      </c:catAx>
      <c:valAx>
        <c:axId val="3204080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0407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793224"/>
        <c:axId val="321793616"/>
      </c:lineChart>
      <c:catAx>
        <c:axId val="3217932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793616"/>
        <c:crosses val="autoZero"/>
        <c:auto val="1"/>
        <c:lblAlgn val="ctr"/>
        <c:lblOffset val="100"/>
        <c:noMultiLvlLbl val="0"/>
      </c:catAx>
      <c:valAx>
        <c:axId val="3217936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793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794400"/>
        <c:axId val="321792440"/>
      </c:lineChart>
      <c:catAx>
        <c:axId val="3217944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792440"/>
        <c:crosses val="autoZero"/>
        <c:auto val="1"/>
        <c:lblAlgn val="ctr"/>
        <c:lblOffset val="100"/>
        <c:noMultiLvlLbl val="0"/>
      </c:catAx>
      <c:valAx>
        <c:axId val="3217924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794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792832"/>
        <c:axId val="321795184"/>
      </c:lineChart>
      <c:catAx>
        <c:axId val="3217928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795184"/>
        <c:crosses val="autoZero"/>
        <c:auto val="1"/>
        <c:lblAlgn val="ctr"/>
        <c:lblOffset val="100"/>
        <c:noMultiLvlLbl val="0"/>
      </c:catAx>
      <c:valAx>
        <c:axId val="3217951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792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797144"/>
        <c:axId val="321796360"/>
      </c:lineChart>
      <c:catAx>
        <c:axId val="3217971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796360"/>
        <c:crosses val="autoZero"/>
        <c:auto val="1"/>
        <c:lblAlgn val="ctr"/>
        <c:lblOffset val="100"/>
        <c:noMultiLvlLbl val="0"/>
      </c:catAx>
      <c:valAx>
        <c:axId val="3217963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7971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796752"/>
        <c:axId val="321795968"/>
      </c:lineChart>
      <c:catAx>
        <c:axId val="3217967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795968"/>
        <c:crosses val="autoZero"/>
        <c:auto val="1"/>
        <c:lblAlgn val="ctr"/>
        <c:lblOffset val="100"/>
        <c:noMultiLvlLbl val="0"/>
      </c:catAx>
      <c:valAx>
        <c:axId val="3217959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796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797536"/>
        <c:axId val="321797928"/>
      </c:lineChart>
      <c:catAx>
        <c:axId val="3217975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797928"/>
        <c:crosses val="autoZero"/>
        <c:auto val="1"/>
        <c:lblAlgn val="ctr"/>
        <c:lblOffset val="100"/>
        <c:noMultiLvlLbl val="0"/>
      </c:catAx>
      <c:valAx>
        <c:axId val="3217979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797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798712"/>
        <c:axId val="321799104"/>
      </c:lineChart>
      <c:catAx>
        <c:axId val="3217987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799104"/>
        <c:crosses val="autoZero"/>
        <c:auto val="1"/>
        <c:lblAlgn val="ctr"/>
        <c:lblOffset val="100"/>
        <c:noMultiLvlLbl val="0"/>
      </c:catAx>
      <c:valAx>
        <c:axId val="3217991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798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666256"/>
        <c:axId val="321665080"/>
      </c:lineChart>
      <c:catAx>
        <c:axId val="3216662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665080"/>
        <c:crosses val="autoZero"/>
        <c:auto val="1"/>
        <c:lblAlgn val="ctr"/>
        <c:lblOffset val="100"/>
        <c:noMultiLvlLbl val="0"/>
      </c:catAx>
      <c:valAx>
        <c:axId val="3216650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666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21665472"/>
        <c:axId val="321663904"/>
      </c:lineChart>
      <c:catAx>
        <c:axId val="321665472"/>
        <c:scaling>
          <c:orientation val="minMax"/>
        </c:scaling>
        <c:delete val="1"/>
        <c:axPos val="b"/>
        <c:majorTickMark val="none"/>
        <c:minorTickMark val="none"/>
        <c:tickLblPos val="nextTo"/>
        <c:crossAx val="321663904"/>
        <c:crosses val="autoZero"/>
        <c:auto val="1"/>
        <c:lblAlgn val="ctr"/>
        <c:lblOffset val="100"/>
        <c:noMultiLvlLbl val="0"/>
      </c:catAx>
      <c:valAx>
        <c:axId val="321663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21665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21660768"/>
        <c:axId val="321662728"/>
      </c:lineChart>
      <c:catAx>
        <c:axId val="321660768"/>
        <c:scaling>
          <c:orientation val="minMax"/>
        </c:scaling>
        <c:delete val="1"/>
        <c:axPos val="b"/>
        <c:majorTickMark val="none"/>
        <c:minorTickMark val="none"/>
        <c:tickLblPos val="nextTo"/>
        <c:crossAx val="321662728"/>
        <c:crosses val="autoZero"/>
        <c:auto val="1"/>
        <c:lblAlgn val="ctr"/>
        <c:lblOffset val="100"/>
        <c:noMultiLvlLbl val="0"/>
      </c:catAx>
      <c:valAx>
        <c:axId val="321662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21660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21664688"/>
        <c:axId val="321661160"/>
      </c:lineChart>
      <c:catAx>
        <c:axId val="321664688"/>
        <c:scaling>
          <c:orientation val="minMax"/>
        </c:scaling>
        <c:delete val="1"/>
        <c:axPos val="b"/>
        <c:majorTickMark val="none"/>
        <c:minorTickMark val="none"/>
        <c:tickLblPos val="nextTo"/>
        <c:crossAx val="321661160"/>
        <c:crosses val="autoZero"/>
        <c:auto val="1"/>
        <c:lblAlgn val="ctr"/>
        <c:lblOffset val="100"/>
        <c:noMultiLvlLbl val="0"/>
      </c:catAx>
      <c:valAx>
        <c:axId val="321661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21664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663512"/>
        <c:axId val="321661552"/>
      </c:lineChart>
      <c:catAx>
        <c:axId val="3216635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661552"/>
        <c:crosses val="autoZero"/>
        <c:auto val="1"/>
        <c:lblAlgn val="ctr"/>
        <c:lblOffset val="100"/>
        <c:noMultiLvlLbl val="0"/>
      </c:catAx>
      <c:valAx>
        <c:axId val="3216615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663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666648"/>
        <c:axId val="321667432"/>
      </c:lineChart>
      <c:catAx>
        <c:axId val="321666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667432"/>
        <c:crosses val="autoZero"/>
        <c:auto val="1"/>
        <c:lblAlgn val="ctr"/>
        <c:lblOffset val="100"/>
        <c:noMultiLvlLbl val="0"/>
      </c:catAx>
      <c:valAx>
        <c:axId val="3216674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666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667824"/>
        <c:axId val="321355680"/>
      </c:lineChart>
      <c:catAx>
        <c:axId val="3216678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55680"/>
        <c:crosses val="autoZero"/>
        <c:auto val="1"/>
        <c:lblAlgn val="ctr"/>
        <c:lblOffset val="100"/>
        <c:noMultiLvlLbl val="0"/>
      </c:catAx>
      <c:valAx>
        <c:axId val="3213556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667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356072"/>
        <c:axId val="321352936"/>
      </c:lineChart>
      <c:catAx>
        <c:axId val="3213560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52936"/>
        <c:crosses val="autoZero"/>
        <c:auto val="1"/>
        <c:lblAlgn val="ctr"/>
        <c:lblOffset val="100"/>
        <c:noMultiLvlLbl val="0"/>
      </c:catAx>
      <c:valAx>
        <c:axId val="3213529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56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356464"/>
        <c:axId val="321358424"/>
      </c:lineChart>
      <c:catAx>
        <c:axId val="3213564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58424"/>
        <c:crosses val="autoZero"/>
        <c:auto val="1"/>
        <c:lblAlgn val="ctr"/>
        <c:lblOffset val="100"/>
        <c:noMultiLvlLbl val="0"/>
      </c:catAx>
      <c:valAx>
        <c:axId val="3213584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56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354112"/>
        <c:axId val="321360776"/>
      </c:lineChart>
      <c:catAx>
        <c:axId val="3213541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60776"/>
        <c:crosses val="autoZero"/>
        <c:auto val="1"/>
        <c:lblAlgn val="ctr"/>
        <c:lblOffset val="100"/>
        <c:noMultiLvlLbl val="0"/>
      </c:catAx>
      <c:valAx>
        <c:axId val="3213607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54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357248"/>
        <c:axId val="321360384"/>
      </c:lineChart>
      <c:catAx>
        <c:axId val="3213572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60384"/>
        <c:crosses val="autoZero"/>
        <c:auto val="1"/>
        <c:lblAlgn val="ctr"/>
        <c:lblOffset val="100"/>
        <c:noMultiLvlLbl val="0"/>
      </c:catAx>
      <c:valAx>
        <c:axId val="3213603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57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353328"/>
        <c:axId val="321354504"/>
      </c:lineChart>
      <c:catAx>
        <c:axId val="3213533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54504"/>
        <c:crosses val="autoZero"/>
        <c:auto val="1"/>
        <c:lblAlgn val="ctr"/>
        <c:lblOffset val="100"/>
        <c:noMultiLvlLbl val="0"/>
      </c:catAx>
      <c:valAx>
        <c:axId val="3213545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53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356856"/>
        <c:axId val="321357640"/>
      </c:lineChart>
      <c:catAx>
        <c:axId val="3213568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57640"/>
        <c:crosses val="autoZero"/>
        <c:auto val="1"/>
        <c:lblAlgn val="ctr"/>
        <c:lblOffset val="100"/>
        <c:noMultiLvlLbl val="0"/>
      </c:catAx>
      <c:valAx>
        <c:axId val="3213576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56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358032"/>
        <c:axId val="321351368"/>
      </c:lineChart>
      <c:catAx>
        <c:axId val="3213580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51368"/>
        <c:crosses val="autoZero"/>
        <c:auto val="1"/>
        <c:lblAlgn val="ctr"/>
        <c:lblOffset val="100"/>
        <c:noMultiLvlLbl val="0"/>
      </c:catAx>
      <c:valAx>
        <c:axId val="3213513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58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352152"/>
        <c:axId val="321354896"/>
      </c:lineChart>
      <c:catAx>
        <c:axId val="3213521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54896"/>
        <c:crosses val="autoZero"/>
        <c:auto val="1"/>
        <c:lblAlgn val="ctr"/>
        <c:lblOffset val="100"/>
        <c:noMultiLvlLbl val="0"/>
      </c:catAx>
      <c:valAx>
        <c:axId val="3213548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52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21362736"/>
        <c:axId val="321361168"/>
      </c:lineChart>
      <c:catAx>
        <c:axId val="321362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61168"/>
        <c:crosses val="autoZero"/>
        <c:auto val="1"/>
        <c:lblAlgn val="ctr"/>
        <c:lblOffset val="100"/>
        <c:noMultiLvlLbl val="0"/>
      </c:catAx>
      <c:valAx>
        <c:axId val="3213611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1362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21355288"/>
        <c:axId val="321363128"/>
      </c:lineChart>
      <c:catAx>
        <c:axId val="321355288"/>
        <c:scaling>
          <c:orientation val="minMax"/>
        </c:scaling>
        <c:delete val="1"/>
        <c:axPos val="b"/>
        <c:majorTickMark val="none"/>
        <c:minorTickMark val="none"/>
        <c:tickLblPos val="nextTo"/>
        <c:crossAx val="321363128"/>
        <c:crosses val="autoZero"/>
        <c:auto val="1"/>
        <c:lblAlgn val="ctr"/>
        <c:lblOffset val="100"/>
        <c:noMultiLvlLbl val="0"/>
      </c:catAx>
      <c:valAx>
        <c:axId val="321363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21355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chart" Target="../charts/chart42.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chart" Target="../charts/chart41.xml"/><Relationship Id="rId5" Type="http://schemas.openxmlformats.org/officeDocument/2006/relationships/chart" Target="../charts/chart35.xml"/><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4.xml"/><Relationship Id="rId9" Type="http://schemas.openxmlformats.org/officeDocument/2006/relationships/chart" Target="../charts/chart39.xml"/><Relationship Id="rId14" Type="http://schemas.openxmlformats.org/officeDocument/2006/relationships/chart" Target="../charts/chart4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1</xdr:row>
          <xdr:rowOff>0</xdr:rowOff>
        </xdr:from>
        <xdr:to>
          <xdr:col>14</xdr:col>
          <xdr:colOff>708660</xdr:colOff>
          <xdr:row>4</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IMPRIMER LE RAPPORT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175260</xdr:colOff>
      <xdr:row>4</xdr:row>
      <xdr:rowOff>91440</xdr:rowOff>
    </xdr:from>
    <xdr:to>
      <xdr:col>1</xdr:col>
      <xdr:colOff>175260</xdr:colOff>
      <xdr:row>5</xdr:row>
      <xdr:rowOff>106680</xdr:rowOff>
    </xdr:to>
    <xdr:sp macro="" textlink="">
      <xdr:nvSpPr>
        <xdr:cNvPr id="9260" name="AutoShape 44"/>
        <xdr:cNvSpPr>
          <a:spLocks noChangeShapeType="1"/>
        </xdr:cNvSpPr>
      </xdr:nvSpPr>
      <xdr:spPr bwMode="auto">
        <a:xfrm flipV="1">
          <a:off x="655320" y="73914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6</xdr:row>
      <xdr:rowOff>99060</xdr:rowOff>
    </xdr:from>
    <xdr:to>
      <xdr:col>1</xdr:col>
      <xdr:colOff>243840</xdr:colOff>
      <xdr:row>7</xdr:row>
      <xdr:rowOff>76200</xdr:rowOff>
    </xdr:to>
    <xdr:grpSp>
      <xdr:nvGrpSpPr>
        <xdr:cNvPr id="9256" name="Group 40"/>
        <xdr:cNvGrpSpPr>
          <a:grpSpLocks noChangeAspect="1"/>
        </xdr:cNvGrpSpPr>
      </xdr:nvGrpSpPr>
      <xdr:grpSpPr bwMode="auto">
        <a:xfrm>
          <a:off x="571500" y="1013460"/>
          <a:ext cx="152400" cy="152400"/>
          <a:chOff x="11144" y="1403"/>
          <a:chExt cx="225" cy="225"/>
        </a:xfrm>
      </xdr:grpSpPr>
      <xdr:sp macro="" textlink="">
        <xdr:nvSpPr>
          <xdr:cNvPr id="9259" name="Oval 43"/>
          <xdr:cNvSpPr>
            <a:spLocks noChangeAspect="1" noChangeArrowheads="1"/>
          </xdr:cNvSpPr>
        </xdr:nvSpPr>
        <xdr:spPr bwMode="auto">
          <a:xfrm>
            <a:off x="11144" y="1403"/>
            <a:ext cx="225" cy="225"/>
          </a:xfrm>
          <a:prstGeom prst="ellipse">
            <a:avLst/>
          </a:prstGeom>
          <a:solidFill>
            <a:srgbClr val="FFFFFF"/>
          </a:solidFill>
          <a:ln w="19050">
            <a:solidFill>
              <a:srgbClr val="000000"/>
            </a:solidFill>
            <a:round/>
            <a:headEnd/>
            <a:tailEnd/>
          </a:ln>
        </xdr:spPr>
      </xdr:sp>
      <xdr:sp macro="" textlink="">
        <xdr:nvSpPr>
          <xdr:cNvPr id="9258" name="AutoShape 42"/>
          <xdr:cNvSpPr>
            <a:spLocks noChangeAspect="1" noChangeShapeType="1"/>
          </xdr:cNvSpPr>
        </xdr:nvSpPr>
        <xdr:spPr bwMode="auto">
          <a:xfrm flipV="1">
            <a:off x="11180" y="1519"/>
            <a:ext cx="147" cy="2"/>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7" name="AutoShape 41"/>
          <xdr:cNvSpPr>
            <a:spLocks noChangeAspect="1" noChangeShapeType="1"/>
          </xdr:cNvSpPr>
        </xdr:nvSpPr>
        <xdr:spPr bwMode="auto">
          <a:xfrm flipH="1">
            <a:off x="11254" y="1435"/>
            <a:ext cx="1" cy="159"/>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8</xdr:row>
      <xdr:rowOff>106680</xdr:rowOff>
    </xdr:from>
    <xdr:to>
      <xdr:col>1</xdr:col>
      <xdr:colOff>259080</xdr:colOff>
      <xdr:row>8</xdr:row>
      <xdr:rowOff>106680</xdr:rowOff>
    </xdr:to>
    <xdr:sp macro="" textlink="">
      <xdr:nvSpPr>
        <xdr:cNvPr id="9255" name="AutoShape 39"/>
        <xdr:cNvSpPr>
          <a:spLocks noChangeShapeType="1"/>
        </xdr:cNvSpPr>
      </xdr:nvSpPr>
      <xdr:spPr bwMode="auto">
        <a:xfrm flipH="1">
          <a:off x="548640" y="1455420"/>
          <a:ext cx="190500" cy="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60960</xdr:colOff>
      <xdr:row>9</xdr:row>
      <xdr:rowOff>106680</xdr:rowOff>
    </xdr:from>
    <xdr:to>
      <xdr:col>1</xdr:col>
      <xdr:colOff>289560</xdr:colOff>
      <xdr:row>9</xdr:row>
      <xdr:rowOff>106680</xdr:rowOff>
    </xdr:to>
    <xdr:sp macro="" textlink="">
      <xdr:nvSpPr>
        <xdr:cNvPr id="9254" name="AutoShape 38"/>
        <xdr:cNvSpPr>
          <a:spLocks noChangeShapeType="1"/>
        </xdr:cNvSpPr>
      </xdr:nvSpPr>
      <xdr:spPr bwMode="auto">
        <a:xfrm flipH="1">
          <a:off x="541020" y="1546860"/>
          <a:ext cx="228600" cy="0"/>
        </a:xfrm>
        <a:prstGeom prst="straightConnector1">
          <a:avLst/>
        </a:prstGeom>
        <a:noFill/>
        <a:ln w="2857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10</xdr:row>
      <xdr:rowOff>106680</xdr:rowOff>
    </xdr:from>
    <xdr:to>
      <xdr:col>1</xdr:col>
      <xdr:colOff>259080</xdr:colOff>
      <xdr:row>10</xdr:row>
      <xdr:rowOff>289560</xdr:rowOff>
    </xdr:to>
    <xdr:grpSp>
      <xdr:nvGrpSpPr>
        <xdr:cNvPr id="9250" name="Group 34"/>
        <xdr:cNvGrpSpPr>
          <a:grpSpLocks/>
        </xdr:cNvGrpSpPr>
      </xdr:nvGrpSpPr>
      <xdr:grpSpPr bwMode="auto">
        <a:xfrm>
          <a:off x="571500" y="1729740"/>
          <a:ext cx="167640" cy="182880"/>
          <a:chOff x="2230" y="12069"/>
          <a:chExt cx="297" cy="294"/>
        </a:xfrm>
      </xdr:grpSpPr>
      <xdr:sp macro="" textlink="">
        <xdr:nvSpPr>
          <xdr:cNvPr id="9253" name="AutoShape 37"/>
          <xdr:cNvSpPr>
            <a:spLocks noChangeShapeType="1"/>
          </xdr:cNvSpPr>
        </xdr:nvSpPr>
        <xdr:spPr bwMode="auto">
          <a:xfrm flipV="1">
            <a:off x="2370" y="12074"/>
            <a:ext cx="1" cy="289"/>
          </a:xfrm>
          <a:prstGeom prst="straightConnector1">
            <a:avLst/>
          </a:prstGeom>
          <a:noFill/>
          <a:ln w="190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9252" name="AutoShape 36"/>
          <xdr:cNvSpPr>
            <a:spLocks noChangeShapeType="1"/>
          </xdr:cNvSpPr>
        </xdr:nvSpPr>
        <xdr:spPr bwMode="auto">
          <a:xfrm>
            <a:off x="2230" y="12069"/>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1" name="AutoShape 35"/>
          <xdr:cNvSpPr>
            <a:spLocks noChangeShapeType="1"/>
          </xdr:cNvSpPr>
        </xdr:nvSpPr>
        <xdr:spPr bwMode="auto">
          <a:xfrm>
            <a:off x="2241" y="12363"/>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11</xdr:row>
      <xdr:rowOff>91440</xdr:rowOff>
    </xdr:from>
    <xdr:to>
      <xdr:col>1</xdr:col>
      <xdr:colOff>251460</xdr:colOff>
      <xdr:row>11</xdr:row>
      <xdr:rowOff>274320</xdr:rowOff>
    </xdr:to>
    <xdr:sp macro="" textlink="">
      <xdr:nvSpPr>
        <xdr:cNvPr id="9249" name="AutoShape 33"/>
        <xdr:cNvSpPr>
          <a:spLocks noChangeArrowheads="1"/>
        </xdr:cNvSpPr>
      </xdr:nvSpPr>
      <xdr:spPr bwMode="auto">
        <a:xfrm>
          <a:off x="548640" y="211836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1</xdr:col>
      <xdr:colOff>76200</xdr:colOff>
      <xdr:row>12</xdr:row>
      <xdr:rowOff>83820</xdr:rowOff>
    </xdr:from>
    <xdr:to>
      <xdr:col>1</xdr:col>
      <xdr:colOff>274320</xdr:colOff>
      <xdr:row>12</xdr:row>
      <xdr:rowOff>274320</xdr:rowOff>
    </xdr:to>
    <xdr:sp macro="" textlink="">
      <xdr:nvSpPr>
        <xdr:cNvPr id="9248" name="Freeform 32"/>
        <xdr:cNvSpPr>
          <a:spLocks noChangeAspect="1"/>
        </xdr:cNvSpPr>
      </xdr:nvSpPr>
      <xdr:spPr bwMode="auto">
        <a:xfrm>
          <a:off x="556260" y="2438400"/>
          <a:ext cx="198120" cy="19050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00"/>
        </a:solidFill>
        <a:ln w="9525">
          <a:solidFill>
            <a:srgbClr val="000000"/>
          </a:solidFill>
          <a:round/>
          <a:headEnd/>
          <a:tailEnd/>
        </a:ln>
      </xdr:spPr>
    </xdr:sp>
    <xdr:clientData/>
  </xdr:twoCellAnchor>
  <xdr:twoCellAnchor>
    <xdr:from>
      <xdr:col>1</xdr:col>
      <xdr:colOff>83820</xdr:colOff>
      <xdr:row>12</xdr:row>
      <xdr:rowOff>297180</xdr:rowOff>
    </xdr:from>
    <xdr:to>
      <xdr:col>1</xdr:col>
      <xdr:colOff>236220</xdr:colOff>
      <xdr:row>13</xdr:row>
      <xdr:rowOff>304800</xdr:rowOff>
    </xdr:to>
    <xdr:sp macro="" textlink="">
      <xdr:nvSpPr>
        <xdr:cNvPr id="9247" name="Text Box 31"/>
        <xdr:cNvSpPr txBox="1">
          <a:spLocks noChangeArrowheads="1"/>
        </xdr:cNvSpPr>
      </xdr:nvSpPr>
      <xdr:spPr bwMode="auto">
        <a:xfrm>
          <a:off x="563880" y="2651760"/>
          <a:ext cx="15240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fr-FR" sz="2000" b="1" i="0" u="none" strike="noStrike" baseline="0">
              <a:solidFill>
                <a:srgbClr val="000000"/>
              </a:solidFill>
              <a:latin typeface="Arial Black"/>
            </a:rPr>
            <a:t>?</a:t>
          </a:r>
        </a:p>
      </xdr:txBody>
    </xdr:sp>
    <xdr:clientData/>
  </xdr:twoCellAnchor>
  <xdr:twoCellAnchor>
    <xdr:from>
      <xdr:col>1</xdr:col>
      <xdr:colOff>45720</xdr:colOff>
      <xdr:row>14</xdr:row>
      <xdr:rowOff>45720</xdr:rowOff>
    </xdr:from>
    <xdr:to>
      <xdr:col>1</xdr:col>
      <xdr:colOff>289560</xdr:colOff>
      <xdr:row>14</xdr:row>
      <xdr:rowOff>236220</xdr:rowOff>
    </xdr:to>
    <xdr:sp macro="" textlink="">
      <xdr:nvSpPr>
        <xdr:cNvPr id="9246" name="Oval 30"/>
        <xdr:cNvSpPr>
          <a:spLocks noChangeArrowheads="1"/>
        </xdr:cNvSpPr>
      </xdr:nvSpPr>
      <xdr:spPr bwMode="auto">
        <a:xfrm>
          <a:off x="525780" y="3307080"/>
          <a:ext cx="243840" cy="190500"/>
        </a:xfrm>
        <a:prstGeom prst="ellipse">
          <a:avLst/>
        </a:prstGeom>
        <a:solidFill>
          <a:srgbClr val="FFFFFF"/>
        </a:solidFill>
        <a:ln w="19050">
          <a:solidFill>
            <a:srgbClr val="000000"/>
          </a:solidFill>
          <a:round/>
          <a:headEnd/>
          <a:tailEnd/>
        </a:ln>
      </xdr:spPr>
    </xdr:sp>
    <xdr:clientData/>
  </xdr:twoCellAnchor>
  <xdr:twoCellAnchor>
    <xdr:from>
      <xdr:col>4</xdr:col>
      <xdr:colOff>182880</xdr:colOff>
      <xdr:row>4</xdr:row>
      <xdr:rowOff>99060</xdr:rowOff>
    </xdr:from>
    <xdr:to>
      <xdr:col>4</xdr:col>
      <xdr:colOff>182880</xdr:colOff>
      <xdr:row>5</xdr:row>
      <xdr:rowOff>114300</xdr:rowOff>
    </xdr:to>
    <xdr:sp macro="" textlink="">
      <xdr:nvSpPr>
        <xdr:cNvPr id="9275" name="AutoShape 59"/>
        <xdr:cNvSpPr>
          <a:spLocks noChangeShapeType="1"/>
        </xdr:cNvSpPr>
      </xdr:nvSpPr>
      <xdr:spPr bwMode="auto">
        <a:xfrm>
          <a:off x="2537460" y="74676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6</xdr:row>
      <xdr:rowOff>106680</xdr:rowOff>
    </xdr:from>
    <xdr:to>
      <xdr:col>4</xdr:col>
      <xdr:colOff>254726</xdr:colOff>
      <xdr:row>7</xdr:row>
      <xdr:rowOff>68580</xdr:rowOff>
    </xdr:to>
    <xdr:grpSp>
      <xdr:nvGrpSpPr>
        <xdr:cNvPr id="174" name="Group 50"/>
        <xdr:cNvGrpSpPr>
          <a:grpSpLocks/>
        </xdr:cNvGrpSpPr>
      </xdr:nvGrpSpPr>
      <xdr:grpSpPr bwMode="auto">
        <a:xfrm>
          <a:off x="2468880" y="1021080"/>
          <a:ext cx="140426" cy="137160"/>
          <a:chOff x="547" y="1763"/>
          <a:chExt cx="225" cy="225"/>
        </a:xfrm>
      </xdr:grpSpPr>
      <xdr:sp macro="" textlink="">
        <xdr:nvSpPr>
          <xdr:cNvPr id="175" name="Oval 51"/>
          <xdr:cNvSpPr>
            <a:spLocks noChangeArrowheads="1"/>
          </xdr:cNvSpPr>
        </xdr:nvSpPr>
        <xdr:spPr bwMode="auto">
          <a:xfrm>
            <a:off x="547" y="1763"/>
            <a:ext cx="225" cy="225"/>
          </a:xfrm>
          <a:prstGeom prst="ellipse">
            <a:avLst/>
          </a:prstGeom>
          <a:solidFill>
            <a:srgbClr val="FFFFFF"/>
          </a:solidFill>
          <a:ln w="19050">
            <a:solidFill>
              <a:sysClr val="windowText" lastClr="000000"/>
            </a:solidFill>
            <a:round/>
            <a:headEnd/>
            <a:tailEnd/>
          </a:ln>
        </xdr:spPr>
      </xdr:sp>
      <xdr:cxnSp macro="">
        <xdr:nvCxnSpPr>
          <xdr:cNvPr id="176" name="AutoShape 52"/>
          <xdr:cNvCxnSpPr>
            <a:cxnSpLocks noChangeShapeType="1"/>
          </xdr:cNvCxnSpPr>
        </xdr:nvCxnSpPr>
        <xdr:spPr bwMode="auto">
          <a:xfrm flipV="1">
            <a:off x="592" y="1873"/>
            <a:ext cx="135" cy="2"/>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4</xdr:col>
      <xdr:colOff>76200</xdr:colOff>
      <xdr:row>8</xdr:row>
      <xdr:rowOff>99060</xdr:rowOff>
    </xdr:from>
    <xdr:to>
      <xdr:col>4</xdr:col>
      <xdr:colOff>281940</xdr:colOff>
      <xdr:row>8</xdr:row>
      <xdr:rowOff>99060</xdr:rowOff>
    </xdr:to>
    <xdr:cxnSp macro="">
      <xdr:nvCxnSpPr>
        <xdr:cNvPr id="177" name="AutoShape 68"/>
        <xdr:cNvCxnSpPr>
          <a:cxnSpLocks noChangeShapeType="1"/>
        </xdr:cNvCxnSpPr>
      </xdr:nvCxnSpPr>
      <xdr:spPr bwMode="auto">
        <a:xfrm rot="5400000" flipV="1">
          <a:off x="2533650" y="1344930"/>
          <a:ext cx="0" cy="205740"/>
        </a:xfrm>
        <a:prstGeom prst="straightConnector1">
          <a:avLst/>
        </a:prstGeom>
        <a:noFill/>
        <a:ln w="28575">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83820</xdr:colOff>
      <xdr:row>10</xdr:row>
      <xdr:rowOff>60960</xdr:rowOff>
    </xdr:from>
    <xdr:to>
      <xdr:col>4</xdr:col>
      <xdr:colOff>266700</xdr:colOff>
      <xdr:row>10</xdr:row>
      <xdr:rowOff>320626</xdr:rowOff>
    </xdr:to>
    <xdr:grpSp>
      <xdr:nvGrpSpPr>
        <xdr:cNvPr id="178" name="Group 18"/>
        <xdr:cNvGrpSpPr>
          <a:grpSpLocks/>
        </xdr:cNvGrpSpPr>
      </xdr:nvGrpSpPr>
      <xdr:grpSpPr bwMode="auto">
        <a:xfrm>
          <a:off x="2438400" y="1684020"/>
          <a:ext cx="182880" cy="259666"/>
          <a:chOff x="1860" y="11974"/>
          <a:chExt cx="286" cy="452"/>
        </a:xfrm>
      </xdr:grpSpPr>
      <xdr:cxnSp macro="">
        <xdr:nvCxnSpPr>
          <xdr:cNvPr id="179" name="AutoShape 19"/>
          <xdr:cNvCxnSpPr>
            <a:cxnSpLocks noChangeShapeType="1"/>
          </xdr:cNvCxnSpPr>
        </xdr:nvCxnSpPr>
        <xdr:spPr bwMode="auto">
          <a:xfrm>
            <a:off x="1860" y="1214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0" name="AutoShape 20"/>
          <xdr:cNvCxnSpPr>
            <a:cxnSpLocks noChangeShapeType="1"/>
          </xdr:cNvCxnSpPr>
        </xdr:nvCxnSpPr>
        <xdr:spPr bwMode="auto">
          <a:xfrm>
            <a:off x="1860" y="1226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1" name="AutoShape 21"/>
          <xdr:cNvCxnSpPr>
            <a:cxnSpLocks noChangeShapeType="1"/>
          </xdr:cNvCxnSpPr>
        </xdr:nvCxnSpPr>
        <xdr:spPr bwMode="auto">
          <a:xfrm>
            <a:off x="2003" y="11974"/>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xnSp macro="">
        <xdr:nvCxnSpPr>
          <xdr:cNvPr id="182" name="AutoShape 22"/>
          <xdr:cNvCxnSpPr>
            <a:cxnSpLocks noChangeShapeType="1"/>
          </xdr:cNvCxnSpPr>
        </xdr:nvCxnSpPr>
        <xdr:spPr bwMode="auto">
          <a:xfrm flipV="1">
            <a:off x="2003" y="12260"/>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grpSp>
    <xdr:clientData/>
  </xdr:twoCellAnchor>
  <xdr:twoCellAnchor>
    <xdr:from>
      <xdr:col>4</xdr:col>
      <xdr:colOff>68580</xdr:colOff>
      <xdr:row>11</xdr:row>
      <xdr:rowOff>83820</xdr:rowOff>
    </xdr:from>
    <xdr:to>
      <xdr:col>4</xdr:col>
      <xdr:colOff>251460</xdr:colOff>
      <xdr:row>11</xdr:row>
      <xdr:rowOff>266700</xdr:rowOff>
    </xdr:to>
    <xdr:sp macro="" textlink="">
      <xdr:nvSpPr>
        <xdr:cNvPr id="184" name="AutoShape 33"/>
        <xdr:cNvSpPr>
          <a:spLocks noChangeArrowheads="1"/>
        </xdr:cNvSpPr>
      </xdr:nvSpPr>
      <xdr:spPr bwMode="auto">
        <a:xfrm flipH="1">
          <a:off x="2423160" y="211074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4</xdr:col>
      <xdr:colOff>22860</xdr:colOff>
      <xdr:row>9</xdr:row>
      <xdr:rowOff>106680</xdr:rowOff>
    </xdr:from>
    <xdr:to>
      <xdr:col>4</xdr:col>
      <xdr:colOff>319261</xdr:colOff>
      <xdr:row>9</xdr:row>
      <xdr:rowOff>106680</xdr:rowOff>
    </xdr:to>
    <xdr:grpSp>
      <xdr:nvGrpSpPr>
        <xdr:cNvPr id="185" name="Groupe 184"/>
        <xdr:cNvGrpSpPr/>
      </xdr:nvGrpSpPr>
      <xdr:grpSpPr>
        <a:xfrm>
          <a:off x="2377440" y="1546860"/>
          <a:ext cx="296401" cy="0"/>
          <a:chOff x="8292353" y="5235388"/>
          <a:chExt cx="296401" cy="0"/>
        </a:xfrm>
      </xdr:grpSpPr>
      <xdr:cxnSp macro="">
        <xdr:nvCxnSpPr>
          <xdr:cNvPr id="186" name="Connecteur droit avec flèche 185"/>
          <xdr:cNvCxnSpPr/>
        </xdr:nvCxnSpPr>
        <xdr:spPr>
          <a:xfrm>
            <a:off x="8292353"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7" name="Connecteur droit avec flèche 186"/>
          <xdr:cNvCxnSpPr/>
        </xdr:nvCxnSpPr>
        <xdr:spPr>
          <a:xfrm flipH="1">
            <a:off x="8444754"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7" name="Graphique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9" name="ZoneTexte 18"/>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20" name="ZoneTexte 19"/>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21" name="ZoneTexte 20"/>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2" name="ZoneTexte 21"/>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3" name="ZoneTexte 22"/>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4" name="ZoneTexte 23"/>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5" name="ZoneTexte 24"/>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6" name="ZoneTexte 25"/>
        <xdr:cNvSpPr txBox="1"/>
      </xdr:nvSpPr>
      <xdr:spPr>
        <a:xfrm>
          <a:off x="6140824" y="1541929"/>
          <a:ext cx="111369" cy="19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7" name="ZoneTexte 26"/>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8" name="ZoneTexte 27"/>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9" name="ZoneTexte 28"/>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30" name="ZoneTexte 29"/>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31" name="ZoneTexte 30"/>
        <xdr:cNvSpPr txBox="1"/>
      </xdr:nvSpPr>
      <xdr:spPr>
        <a:xfrm>
          <a:off x="6140824"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2" name="ZoneTexte 31"/>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3" name="ZoneTexte 32"/>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4" name="ZoneTexte 33"/>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5" name="ZoneTexte 34"/>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6" name="ZoneTexte 35"/>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7" name="ZoneTexte 36"/>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9" name="ZoneTexte 38"/>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40" name="ZoneTexte 39"/>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41" name="ZoneTexte 40"/>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42" name="ZoneTexte 41"/>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3" name="ZoneTexte 42"/>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4" name="ZoneTexte 43"/>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5" name="ZoneTexte 44"/>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6" name="ZoneTexte 45"/>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7" name="ZoneTexte 46"/>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8" name="ZoneTexte 47"/>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9" name="ZoneTexte 48"/>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50" name="ZoneTexte 49"/>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51" name="ZoneTexte 50"/>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52" name="ZoneTexte 51"/>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3" name="ZoneTexte 52"/>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4" name="ZoneTexte 53"/>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5" name="ZoneTexte 54"/>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6" name="ZoneTexte 55"/>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7" name="ZoneTexte 56"/>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8" name="ZoneTexte 57"/>
        <xdr:cNvSpPr txBox="1"/>
      </xdr:nvSpPr>
      <xdr:spPr>
        <a:xfrm>
          <a:off x="6142892" y="2409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9" name="ZoneTexte 58"/>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60" name="ZoneTexte 59"/>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61" name="ZoneTexte 60"/>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62" name="ZoneTexte 61"/>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3" name="ZoneTexte 62"/>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4" name="ZoneTexte 63"/>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5" name="ZoneTexte 64"/>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6" name="ZoneTexte 65"/>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7" name="ZoneTexte 66"/>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8" name="ZoneTexte 67"/>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9" name="ZoneTexte 68"/>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70" name="ZoneTexte 69"/>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71" name="ZoneTexte 70"/>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72" name="ZoneTexte 71"/>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3" name="ZoneTexte 72"/>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4" name="ZoneTexte 73"/>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5" name="ZoneTexte 74"/>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6" name="ZoneTexte 75"/>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7" name="ZoneTexte 76"/>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8" name="ZoneTexte 77"/>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9" name="ZoneTexte 78"/>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80" name="ZoneTexte 79"/>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81" name="ZoneTexte 80"/>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82" name="ZoneTexte 81"/>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3" name="ZoneTexte 82"/>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4" name="ZoneTexte 83"/>
        <xdr:cNvSpPr txBox="1"/>
      </xdr:nvSpPr>
      <xdr:spPr>
        <a:xfrm>
          <a:off x="6929718"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5" name="ZoneTexte 84"/>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6" name="ZoneTexte 85"/>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7" name="ZoneTexte 86"/>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8" name="ZoneTexte 87"/>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9" name="ZoneTexte 88"/>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90" name="ZoneTexte 89"/>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91" name="ZoneTexte 90"/>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92" name="ZoneTexte 91"/>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3" name="ZoneTexte 92"/>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4" name="ZoneTexte 93"/>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5" name="ZoneTexte 94"/>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6" name="ZoneTexte 95"/>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7" name="ZoneTexte 96"/>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1025" name="Group 1"/>
        <xdr:cNvGrpSpPr>
          <a:grpSpLocks/>
        </xdr:cNvGrpSpPr>
      </xdr:nvGrpSpPr>
      <xdr:grpSpPr bwMode="auto">
        <a:xfrm>
          <a:off x="6569026" y="4906694"/>
          <a:ext cx="190500" cy="190500"/>
          <a:chOff x="2230" y="12069"/>
          <a:chExt cx="297" cy="294"/>
        </a:xfrm>
      </xdr:grpSpPr>
      <xdr:cxnSp macro="">
        <xdr:nvCxnSpPr>
          <xdr:cNvPr id="102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2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2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1029" name="Group 5"/>
        <xdr:cNvGrpSpPr>
          <a:grpSpLocks/>
        </xdr:cNvGrpSpPr>
      </xdr:nvGrpSpPr>
      <xdr:grpSpPr bwMode="auto">
        <a:xfrm>
          <a:off x="6200335" y="4909625"/>
          <a:ext cx="190500" cy="190499"/>
          <a:chOff x="2230" y="12069"/>
          <a:chExt cx="297" cy="294"/>
        </a:xfrm>
      </xdr:grpSpPr>
      <xdr:cxnSp macro="">
        <xdr:nvCxnSpPr>
          <xdr:cNvPr id="103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3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3" name="Group 9"/>
        <xdr:cNvGrpSpPr>
          <a:grpSpLocks/>
        </xdr:cNvGrpSpPr>
      </xdr:nvGrpSpPr>
      <xdr:grpSpPr bwMode="auto">
        <a:xfrm>
          <a:off x="6936544" y="4914315"/>
          <a:ext cx="190500" cy="182879"/>
          <a:chOff x="2230" y="12069"/>
          <a:chExt cx="297" cy="294"/>
        </a:xfrm>
      </xdr:grpSpPr>
      <xdr:cxnSp macro="">
        <xdr:nvCxnSpPr>
          <xdr:cNvPr id="103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3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37" name="Group 13"/>
        <xdr:cNvGrpSpPr>
          <a:grpSpLocks/>
        </xdr:cNvGrpSpPr>
      </xdr:nvGrpSpPr>
      <xdr:grpSpPr bwMode="auto">
        <a:xfrm>
          <a:off x="6568440" y="5219700"/>
          <a:ext cx="182880" cy="289560"/>
          <a:chOff x="1860" y="11974"/>
          <a:chExt cx="286" cy="452"/>
        </a:xfrm>
      </xdr:grpSpPr>
      <xdr:cxnSp macro="">
        <xdr:nvCxnSpPr>
          <xdr:cNvPr id="103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3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4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04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042" name="Group 18"/>
        <xdr:cNvGrpSpPr>
          <a:grpSpLocks/>
        </xdr:cNvGrpSpPr>
      </xdr:nvGrpSpPr>
      <xdr:grpSpPr bwMode="auto">
        <a:xfrm>
          <a:off x="6210886" y="5204460"/>
          <a:ext cx="182880" cy="290146"/>
          <a:chOff x="1860" y="11974"/>
          <a:chExt cx="286" cy="452"/>
        </a:xfrm>
      </xdr:grpSpPr>
      <xdr:cxnSp macro="">
        <xdr:nvCxnSpPr>
          <xdr:cNvPr id="104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04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047" name="Group 23"/>
        <xdr:cNvGrpSpPr>
          <a:grpSpLocks/>
        </xdr:cNvGrpSpPr>
      </xdr:nvGrpSpPr>
      <xdr:grpSpPr bwMode="auto">
        <a:xfrm>
          <a:off x="6954715" y="5220286"/>
          <a:ext cx="182880" cy="290146"/>
          <a:chOff x="1860" y="11974"/>
          <a:chExt cx="286" cy="452"/>
        </a:xfrm>
      </xdr:grpSpPr>
      <xdr:cxnSp macro="">
        <xdr:nvCxnSpPr>
          <xdr:cNvPr id="104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4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5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05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35" name="ZoneTexte 134"/>
        <xdr:cNvSpPr txBox="1"/>
      </xdr:nvSpPr>
      <xdr:spPr>
        <a:xfrm>
          <a:off x="621909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36" name="ZoneTexte 135"/>
        <xdr:cNvSpPr txBox="1"/>
      </xdr:nvSpPr>
      <xdr:spPr>
        <a:xfrm>
          <a:off x="6617684"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37" name="ZoneTexte 136"/>
        <xdr:cNvSpPr txBox="1"/>
      </xdr:nvSpPr>
      <xdr:spPr>
        <a:xfrm>
          <a:off x="701626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062" name="Freeform 38"/>
        <xdr:cNvSpPr>
          <a:spLocks/>
        </xdr:cNvSpPr>
      </xdr:nvSpPr>
      <xdr:spPr bwMode="auto">
        <a:xfrm>
          <a:off x="6993401" y="5863298"/>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063" name="Freeform 39"/>
        <xdr:cNvSpPr>
          <a:spLocks/>
        </xdr:cNvSpPr>
      </xdr:nvSpPr>
      <xdr:spPr bwMode="auto">
        <a:xfrm>
          <a:off x="6223196" y="5864468"/>
          <a:ext cx="213360" cy="183467"/>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064" name="Freeform 40"/>
        <xdr:cNvSpPr>
          <a:spLocks/>
        </xdr:cNvSpPr>
      </xdr:nvSpPr>
      <xdr:spPr bwMode="auto">
        <a:xfrm>
          <a:off x="6594231" y="5867400"/>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065" name="AutoShape 41"/>
        <xdr:cNvCxnSpPr>
          <a:cxnSpLocks noChangeShapeType="1"/>
        </xdr:cNvCxnSpPr>
      </xdr:nvCxnSpPr>
      <xdr:spPr bwMode="auto">
        <a:xfrm flipH="1">
          <a:off x="6986452" y="6147162"/>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066" name="AutoShape 42"/>
        <xdr:cNvCxnSpPr>
          <a:cxnSpLocks noChangeShapeType="1"/>
        </xdr:cNvCxnSpPr>
      </xdr:nvCxnSpPr>
      <xdr:spPr bwMode="auto">
        <a:xfrm flipH="1">
          <a:off x="6228806" y="6154783"/>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067" name="AutoShape 43"/>
        <xdr:cNvCxnSpPr>
          <a:cxnSpLocks noChangeShapeType="1"/>
        </xdr:cNvCxnSpPr>
      </xdr:nvCxnSpPr>
      <xdr:spPr bwMode="auto">
        <a:xfrm flipH="1">
          <a:off x="6606540" y="6138455"/>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068" name="Group 44"/>
        <xdr:cNvGrpSpPr>
          <a:grpSpLocks/>
        </xdr:cNvGrpSpPr>
      </xdr:nvGrpSpPr>
      <xdr:grpSpPr bwMode="auto">
        <a:xfrm>
          <a:off x="7051765" y="6523814"/>
          <a:ext cx="140426" cy="144781"/>
          <a:chOff x="547" y="1763"/>
          <a:chExt cx="225" cy="225"/>
        </a:xfrm>
      </xdr:grpSpPr>
      <xdr:sp macro="" textlink="">
        <xdr:nvSpPr>
          <xdr:cNvPr id="1069"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070"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071" name="Group 47"/>
        <xdr:cNvGrpSpPr>
          <a:grpSpLocks/>
        </xdr:cNvGrpSpPr>
      </xdr:nvGrpSpPr>
      <xdr:grpSpPr bwMode="auto">
        <a:xfrm>
          <a:off x="6263639" y="6518372"/>
          <a:ext cx="140426" cy="144780"/>
          <a:chOff x="547" y="1763"/>
          <a:chExt cx="225" cy="225"/>
        </a:xfrm>
      </xdr:grpSpPr>
      <xdr:sp macro="" textlink="">
        <xdr:nvSpPr>
          <xdr:cNvPr id="1072"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073"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074" name="Group 50"/>
        <xdr:cNvGrpSpPr>
          <a:grpSpLocks/>
        </xdr:cNvGrpSpPr>
      </xdr:nvGrpSpPr>
      <xdr:grpSpPr bwMode="auto">
        <a:xfrm>
          <a:off x="6667499" y="6512928"/>
          <a:ext cx="140426" cy="137160"/>
          <a:chOff x="547" y="1763"/>
          <a:chExt cx="225" cy="225"/>
        </a:xfrm>
      </xdr:grpSpPr>
      <xdr:sp macro="" textlink="">
        <xdr:nvSpPr>
          <xdr:cNvPr id="1075"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076"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077" name="Group 53"/>
        <xdr:cNvGrpSpPr>
          <a:grpSpLocks/>
        </xdr:cNvGrpSpPr>
      </xdr:nvGrpSpPr>
      <xdr:grpSpPr bwMode="auto">
        <a:xfrm>
          <a:off x="7058298" y="6798135"/>
          <a:ext cx="144780" cy="143691"/>
          <a:chOff x="554" y="1388"/>
          <a:chExt cx="225" cy="225"/>
        </a:xfrm>
      </xdr:grpSpPr>
      <xdr:sp macro="" textlink="">
        <xdr:nvSpPr>
          <xdr:cNvPr id="1078"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079"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80"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081" name="Group 57"/>
        <xdr:cNvGrpSpPr>
          <a:grpSpLocks/>
        </xdr:cNvGrpSpPr>
      </xdr:nvGrpSpPr>
      <xdr:grpSpPr bwMode="auto">
        <a:xfrm>
          <a:off x="6291943" y="6781807"/>
          <a:ext cx="137160" cy="143691"/>
          <a:chOff x="554" y="1388"/>
          <a:chExt cx="225" cy="225"/>
        </a:xfrm>
      </xdr:grpSpPr>
      <xdr:sp macro="" textlink="">
        <xdr:nvSpPr>
          <xdr:cNvPr id="1082"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083"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84"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085" name="Group 61"/>
        <xdr:cNvGrpSpPr>
          <a:grpSpLocks/>
        </xdr:cNvGrpSpPr>
      </xdr:nvGrpSpPr>
      <xdr:grpSpPr bwMode="auto">
        <a:xfrm>
          <a:off x="6652259" y="6753504"/>
          <a:ext cx="144780" cy="137160"/>
          <a:chOff x="554" y="1388"/>
          <a:chExt cx="225" cy="225"/>
        </a:xfrm>
      </xdr:grpSpPr>
      <xdr:sp macro="" textlink="">
        <xdr:nvSpPr>
          <xdr:cNvPr id="1086"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087"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88"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089" name="AutoShape 65"/>
        <xdr:cNvCxnSpPr>
          <a:cxnSpLocks noChangeShapeType="1"/>
        </xdr:cNvCxnSpPr>
      </xdr:nvCxnSpPr>
      <xdr:spPr bwMode="auto">
        <a:xfrm rot="5400000">
          <a:off x="6726859" y="7258665"/>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090" name="AutoShape 66"/>
        <xdr:cNvCxnSpPr>
          <a:cxnSpLocks noChangeShapeType="1"/>
        </xdr:cNvCxnSpPr>
      </xdr:nvCxnSpPr>
      <xdr:spPr bwMode="auto">
        <a:xfrm rot="5400000" flipV="1">
          <a:off x="6726859" y="7102231"/>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091" name="AutoShape 67"/>
        <xdr:cNvCxnSpPr>
          <a:cxnSpLocks noChangeShapeType="1"/>
        </xdr:cNvCxnSpPr>
      </xdr:nvCxnSpPr>
      <xdr:spPr bwMode="auto">
        <a:xfrm rot="5400000">
          <a:off x="6364525" y="7249412"/>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092" name="AutoShape 68"/>
        <xdr:cNvCxnSpPr>
          <a:cxnSpLocks noChangeShapeType="1"/>
        </xdr:cNvCxnSpPr>
      </xdr:nvCxnSpPr>
      <xdr:spPr bwMode="auto">
        <a:xfrm rot="5400000" flipV="1">
          <a:off x="6364525" y="7108218"/>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093" name="AutoShape 69"/>
        <xdr:cNvCxnSpPr>
          <a:cxnSpLocks noChangeShapeType="1"/>
        </xdr:cNvCxnSpPr>
      </xdr:nvCxnSpPr>
      <xdr:spPr bwMode="auto">
        <a:xfrm rot="5400000">
          <a:off x="7109333" y="726737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094" name="AutoShape 70"/>
        <xdr:cNvCxnSpPr>
          <a:cxnSpLocks noChangeShapeType="1"/>
        </xdr:cNvCxnSpPr>
      </xdr:nvCxnSpPr>
      <xdr:spPr bwMode="auto">
        <a:xfrm rot="5400000" flipV="1">
          <a:off x="7109333" y="7102230"/>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095" name="AutoShape 71"/>
        <xdr:cNvCxnSpPr>
          <a:cxnSpLocks noChangeShapeType="1"/>
        </xdr:cNvCxnSpPr>
      </xdr:nvCxnSpPr>
      <xdr:spPr bwMode="auto">
        <a:xfrm>
          <a:off x="679543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096" name="AutoShape 72"/>
        <xdr:cNvCxnSpPr>
          <a:cxnSpLocks noChangeShapeType="1"/>
        </xdr:cNvCxnSpPr>
      </xdr:nvCxnSpPr>
      <xdr:spPr bwMode="auto">
        <a:xfrm flipV="1">
          <a:off x="670399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097" name="AutoShape 73"/>
        <xdr:cNvCxnSpPr>
          <a:cxnSpLocks noChangeShapeType="1"/>
        </xdr:cNvCxnSpPr>
      </xdr:nvCxnSpPr>
      <xdr:spPr bwMode="auto">
        <a:xfrm>
          <a:off x="6404258" y="7523955"/>
          <a:ext cx="0" cy="20977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098" name="AutoShape 74"/>
        <xdr:cNvCxnSpPr>
          <a:cxnSpLocks noChangeShapeType="1"/>
        </xdr:cNvCxnSpPr>
      </xdr:nvCxnSpPr>
      <xdr:spPr bwMode="auto">
        <a:xfrm flipV="1">
          <a:off x="6312818" y="7523955"/>
          <a:ext cx="0" cy="21739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099" name="AutoShape 75"/>
        <xdr:cNvCxnSpPr>
          <a:cxnSpLocks noChangeShapeType="1"/>
        </xdr:cNvCxnSpPr>
      </xdr:nvCxnSpPr>
      <xdr:spPr bwMode="auto">
        <a:xfrm>
          <a:off x="715614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100" name="AutoShape 76"/>
        <xdr:cNvCxnSpPr>
          <a:cxnSpLocks noChangeShapeType="1"/>
        </xdr:cNvCxnSpPr>
      </xdr:nvCxnSpPr>
      <xdr:spPr bwMode="auto">
        <a:xfrm flipV="1">
          <a:off x="706470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101" name="Oval 77"/>
        <xdr:cNvSpPr>
          <a:spLocks noChangeArrowheads="1"/>
        </xdr:cNvSpPr>
      </xdr:nvSpPr>
      <xdr:spPr bwMode="auto">
        <a:xfrm>
          <a:off x="6937338" y="7878189"/>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102" name="Oval 78"/>
        <xdr:cNvSpPr>
          <a:spLocks noChangeArrowheads="1"/>
        </xdr:cNvSpPr>
      </xdr:nvSpPr>
      <xdr:spPr bwMode="auto">
        <a:xfrm>
          <a:off x="6188720" y="7886897"/>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103" name="Oval 79"/>
        <xdr:cNvSpPr>
          <a:spLocks noChangeArrowheads="1"/>
        </xdr:cNvSpPr>
      </xdr:nvSpPr>
      <xdr:spPr bwMode="auto">
        <a:xfrm>
          <a:off x="6598407" y="7881455"/>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104" name="AutoShape 80"/>
        <xdr:cNvSpPr>
          <a:spLocks noChangeArrowheads="1"/>
        </xdr:cNvSpPr>
      </xdr:nvSpPr>
      <xdr:spPr bwMode="auto">
        <a:xfrm>
          <a:off x="6693113" y="8180173"/>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106" name="AutoShape 82"/>
        <xdr:cNvSpPr>
          <a:spLocks noChangeArrowheads="1"/>
        </xdr:cNvSpPr>
      </xdr:nvSpPr>
      <xdr:spPr bwMode="auto">
        <a:xfrm>
          <a:off x="6301932" y="8147836"/>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108" name="AutoShape 84"/>
        <xdr:cNvSpPr>
          <a:spLocks noChangeArrowheads="1"/>
        </xdr:cNvSpPr>
      </xdr:nvSpPr>
      <xdr:spPr bwMode="auto">
        <a:xfrm>
          <a:off x="7075586" y="8176907"/>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3" name="AutoShape 80"/>
        <xdr:cNvSpPr>
          <a:spLocks noChangeArrowheads="1"/>
        </xdr:cNvSpPr>
      </xdr:nvSpPr>
      <xdr:spPr bwMode="auto">
        <a:xfrm flipH="1">
          <a:off x="6576828" y="8073684"/>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4" name="AutoShape 82"/>
        <xdr:cNvSpPr>
          <a:spLocks noChangeArrowheads="1"/>
        </xdr:cNvSpPr>
      </xdr:nvSpPr>
      <xdr:spPr bwMode="auto">
        <a:xfrm flipH="1">
          <a:off x="6185647" y="8041347"/>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5" name="AutoShape 84"/>
        <xdr:cNvSpPr>
          <a:spLocks noChangeArrowheads="1"/>
        </xdr:cNvSpPr>
      </xdr:nvSpPr>
      <xdr:spPr bwMode="auto">
        <a:xfrm flipH="1">
          <a:off x="6959301" y="8070418"/>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38" name="Groupe 37"/>
        <xdr:cNvGrpSpPr/>
      </xdr:nvGrpSpPr>
      <xdr:grpSpPr>
        <a:xfrm>
          <a:off x="6195508" y="6363596"/>
          <a:ext cx="296401" cy="0"/>
          <a:chOff x="8292353" y="5235388"/>
          <a:chExt cx="296401" cy="0"/>
        </a:xfrm>
      </xdr:grpSpPr>
      <xdr:cxnSp macro="">
        <xdr:nvCxnSpPr>
          <xdr:cNvPr id="18" name="Connecteur droit avec flèche 17"/>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80" name="Groupe 179"/>
        <xdr:cNvGrpSpPr/>
      </xdr:nvGrpSpPr>
      <xdr:grpSpPr>
        <a:xfrm>
          <a:off x="6582784" y="6363596"/>
          <a:ext cx="296401" cy="0"/>
          <a:chOff x="8292353" y="5235388"/>
          <a:chExt cx="296401" cy="0"/>
        </a:xfrm>
      </xdr:grpSpPr>
      <xdr:cxnSp macro="">
        <xdr:nvCxnSpPr>
          <xdr:cNvPr id="181" name="Connecteur droit avec flèche 180"/>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2" name="Connecteur droit avec flèche 181"/>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83" name="Groupe 182"/>
        <xdr:cNvGrpSpPr/>
      </xdr:nvGrpSpPr>
      <xdr:grpSpPr>
        <a:xfrm>
          <a:off x="6970059" y="6354632"/>
          <a:ext cx="296401" cy="0"/>
          <a:chOff x="8292353" y="5235388"/>
          <a:chExt cx="296401" cy="0"/>
        </a:xfrm>
      </xdr:grpSpPr>
      <xdr:cxnSp macro="">
        <xdr:nvCxnSpPr>
          <xdr:cNvPr id="184" name="Connecteur droit avec flèche 183"/>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5" name="Connecteur droit avec flèche 184"/>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O112"/>
  <sheetViews>
    <sheetView topLeftCell="A13" zoomScale="115" zoomScaleNormal="115" workbookViewId="0">
      <selection activeCell="F36" sqref="F36:K36"/>
    </sheetView>
  </sheetViews>
  <sheetFormatPr baseColWidth="10" defaultRowHeight="13.8" x14ac:dyDescent="0.25"/>
  <cols>
    <col min="1" max="1" width="7" style="100" customWidth="1"/>
    <col min="2" max="2" width="21" style="100" customWidth="1"/>
    <col min="3" max="4" width="3.77734375" style="100" customWidth="1"/>
    <col min="5" max="6" width="20.77734375" style="100" customWidth="1"/>
    <col min="7" max="11" width="5.77734375" style="100" customWidth="1"/>
    <col min="12" max="12" width="3.33203125" style="100" customWidth="1"/>
    <col min="13" max="13" width="17.33203125" style="100" customWidth="1"/>
    <col min="14" max="16384" width="11.5546875" style="100"/>
  </cols>
  <sheetData>
    <row r="1" spans="2:13" ht="14.4" thickBot="1" x14ac:dyDescent="0.3">
      <c r="B1" s="178" t="s">
        <v>4</v>
      </c>
      <c r="C1" s="179"/>
      <c r="D1" s="179"/>
      <c r="E1" s="179"/>
      <c r="F1" s="179"/>
      <c r="G1" s="179"/>
      <c r="H1" s="179"/>
      <c r="I1" s="179"/>
      <c r="J1" s="179"/>
      <c r="K1" s="180"/>
    </row>
    <row r="2" spans="2:13" x14ac:dyDescent="0.25">
      <c r="B2" s="145" t="s">
        <v>5</v>
      </c>
      <c r="C2" s="181"/>
      <c r="D2" s="182"/>
      <c r="E2" s="182"/>
      <c r="F2" s="182"/>
      <c r="G2" s="182"/>
      <c r="H2" s="182"/>
      <c r="I2" s="182"/>
      <c r="J2" s="182"/>
      <c r="K2" s="183"/>
    </row>
    <row r="3" spans="2:13" x14ac:dyDescent="0.25">
      <c r="B3" s="146" t="s">
        <v>6</v>
      </c>
      <c r="C3" s="184"/>
      <c r="D3" s="184"/>
      <c r="E3" s="184"/>
      <c r="F3" s="184"/>
      <c r="G3" s="184"/>
      <c r="H3" s="184"/>
      <c r="I3" s="184"/>
      <c r="J3" s="184"/>
      <c r="K3" s="185"/>
    </row>
    <row r="4" spans="2:13" x14ac:dyDescent="0.25">
      <c r="B4" s="146" t="s">
        <v>7</v>
      </c>
      <c r="C4" s="184"/>
      <c r="D4" s="184"/>
      <c r="E4" s="184"/>
      <c r="F4" s="184"/>
      <c r="G4" s="184"/>
      <c r="H4" s="184"/>
      <c r="I4" s="184"/>
      <c r="J4" s="184"/>
      <c r="K4" s="185"/>
    </row>
    <row r="5" spans="2:13" x14ac:dyDescent="0.25">
      <c r="B5" s="146" t="s">
        <v>366</v>
      </c>
      <c r="C5" s="186" t="s">
        <v>367</v>
      </c>
      <c r="D5" s="186"/>
      <c r="E5" s="186"/>
      <c r="F5" s="186"/>
      <c r="G5" s="186"/>
      <c r="H5" s="186"/>
      <c r="I5" s="186"/>
      <c r="J5" s="186"/>
      <c r="K5" s="187"/>
    </row>
    <row r="6" spans="2:13" x14ac:dyDescent="0.25">
      <c r="B6" s="147" t="s">
        <v>368</v>
      </c>
      <c r="C6" s="188"/>
      <c r="D6" s="188"/>
      <c r="E6" s="188"/>
      <c r="F6" s="188"/>
      <c r="G6" s="188"/>
      <c r="H6" s="188"/>
      <c r="I6" s="188"/>
      <c r="J6" s="188"/>
      <c r="K6" s="189"/>
    </row>
    <row r="7" spans="2:13" ht="14.4" thickBot="1" x14ac:dyDescent="0.3">
      <c r="B7" s="148" t="s">
        <v>369</v>
      </c>
      <c r="C7" s="190"/>
      <c r="D7" s="190"/>
      <c r="E7" s="190"/>
      <c r="F7" s="190"/>
      <c r="G7" s="190"/>
      <c r="H7" s="190"/>
      <c r="I7" s="190"/>
      <c r="J7" s="190"/>
      <c r="K7" s="191"/>
    </row>
    <row r="8" spans="2:13" ht="10.050000000000001" customHeight="1" thickBot="1" x14ac:dyDescent="0.3"/>
    <row r="9" spans="2:13" ht="15" customHeight="1" thickBot="1" x14ac:dyDescent="0.3">
      <c r="B9" s="200" t="s">
        <v>395</v>
      </c>
      <c r="C9" s="201"/>
      <c r="D9" s="201"/>
      <c r="E9" s="201"/>
      <c r="F9" s="201"/>
      <c r="G9" s="201"/>
      <c r="H9" s="201"/>
      <c r="I9" s="201"/>
      <c r="J9" s="201"/>
      <c r="K9" s="202"/>
    </row>
    <row r="10" spans="2:13" ht="15" customHeight="1" x14ac:dyDescent="0.25">
      <c r="B10" s="145" t="s">
        <v>17</v>
      </c>
      <c r="C10" s="203"/>
      <c r="D10" s="203"/>
      <c r="E10" s="203"/>
      <c r="F10" s="203"/>
      <c r="G10" s="203"/>
      <c r="H10" s="203"/>
      <c r="I10" s="203"/>
      <c r="J10" s="203"/>
      <c r="K10" s="204"/>
    </row>
    <row r="11" spans="2:13" ht="15" customHeight="1" x14ac:dyDescent="0.25">
      <c r="B11" s="102" t="s">
        <v>8</v>
      </c>
      <c r="C11" s="184"/>
      <c r="D11" s="184"/>
      <c r="E11" s="184"/>
      <c r="F11" s="184"/>
      <c r="G11" s="184"/>
      <c r="H11" s="184"/>
      <c r="I11" s="184"/>
      <c r="J11" s="184"/>
      <c r="K11" s="185"/>
    </row>
    <row r="12" spans="2:13" ht="15" customHeight="1" x14ac:dyDescent="0.25">
      <c r="B12" s="102" t="s">
        <v>396</v>
      </c>
      <c r="C12" s="186" t="s">
        <v>367</v>
      </c>
      <c r="D12" s="186"/>
      <c r="E12" s="186"/>
      <c r="F12" s="186"/>
      <c r="G12" s="186"/>
      <c r="H12" s="186"/>
      <c r="I12" s="186"/>
      <c r="J12" s="186"/>
      <c r="K12" s="187"/>
      <c r="M12" s="100" t="s">
        <v>404</v>
      </c>
    </row>
    <row r="13" spans="2:13" ht="15" customHeight="1" x14ac:dyDescent="0.25">
      <c r="B13" s="102" t="s">
        <v>397</v>
      </c>
      <c r="C13" s="205"/>
      <c r="D13" s="205"/>
      <c r="E13" s="205"/>
      <c r="F13" s="205"/>
      <c r="G13" s="205"/>
      <c r="H13" s="205"/>
      <c r="I13" s="205"/>
      <c r="J13" s="205"/>
      <c r="K13" s="206"/>
    </row>
    <row r="14" spans="2:13" ht="15" customHeight="1" thickBot="1" x14ac:dyDescent="0.3">
      <c r="B14" s="149" t="s">
        <v>398</v>
      </c>
      <c r="C14" s="192"/>
      <c r="D14" s="192"/>
      <c r="E14" s="192"/>
      <c r="F14" s="192"/>
      <c r="G14" s="192"/>
      <c r="H14" s="192"/>
      <c r="I14" s="192"/>
      <c r="J14" s="192"/>
      <c r="K14" s="193"/>
    </row>
    <row r="15" spans="2:13" ht="10.050000000000001" customHeight="1" thickBot="1" x14ac:dyDescent="0.3">
      <c r="B15" s="150"/>
      <c r="C15" s="151"/>
      <c r="D15" s="151"/>
      <c r="E15" s="151"/>
      <c r="F15" s="151"/>
      <c r="G15" s="151"/>
      <c r="H15" s="151"/>
      <c r="I15" s="151"/>
      <c r="J15" s="151"/>
      <c r="K15" s="151"/>
    </row>
    <row r="16" spans="2:13" ht="15" customHeight="1" thickBot="1" x14ac:dyDescent="0.3">
      <c r="B16" s="200" t="s">
        <v>399</v>
      </c>
      <c r="C16" s="201"/>
      <c r="D16" s="201"/>
      <c r="E16" s="201"/>
      <c r="F16" s="201"/>
      <c r="G16" s="201"/>
      <c r="H16" s="201"/>
      <c r="I16" s="201"/>
      <c r="J16" s="201"/>
      <c r="K16" s="202"/>
    </row>
    <row r="17" spans="2:13" ht="15" customHeight="1" x14ac:dyDescent="0.25">
      <c r="B17" s="194" t="s">
        <v>27</v>
      </c>
      <c r="C17" s="203" t="s">
        <v>60</v>
      </c>
      <c r="D17" s="203"/>
      <c r="E17" s="203"/>
      <c r="F17" s="203"/>
      <c r="G17" s="234" t="s">
        <v>0</v>
      </c>
      <c r="H17" s="234"/>
      <c r="I17" s="227" t="s">
        <v>367</v>
      </c>
      <c r="J17" s="227"/>
      <c r="K17" s="228"/>
      <c r="M17" s="100" t="s">
        <v>404</v>
      </c>
    </row>
    <row r="18" spans="2:13" ht="15" customHeight="1" x14ac:dyDescent="0.25">
      <c r="B18" s="195"/>
      <c r="C18" s="184" t="s">
        <v>60</v>
      </c>
      <c r="D18" s="184"/>
      <c r="E18" s="184"/>
      <c r="F18" s="184"/>
      <c r="G18" s="233" t="s">
        <v>0</v>
      </c>
      <c r="H18" s="233"/>
      <c r="I18" s="229" t="s">
        <v>367</v>
      </c>
      <c r="J18" s="229"/>
      <c r="K18" s="230"/>
    </row>
    <row r="19" spans="2:13" ht="15" customHeight="1" x14ac:dyDescent="0.25">
      <c r="B19" s="195"/>
      <c r="C19" s="184" t="s">
        <v>60</v>
      </c>
      <c r="D19" s="184"/>
      <c r="E19" s="184"/>
      <c r="F19" s="184"/>
      <c r="G19" s="233" t="s">
        <v>0</v>
      </c>
      <c r="H19" s="233"/>
      <c r="I19" s="229" t="s">
        <v>367</v>
      </c>
      <c r="J19" s="229"/>
      <c r="K19" s="230"/>
    </row>
    <row r="20" spans="2:13" ht="15" customHeight="1" x14ac:dyDescent="0.25">
      <c r="B20" s="195"/>
      <c r="C20" s="184" t="s">
        <v>60</v>
      </c>
      <c r="D20" s="184"/>
      <c r="E20" s="184"/>
      <c r="F20" s="184"/>
      <c r="G20" s="233" t="s">
        <v>0</v>
      </c>
      <c r="H20" s="233"/>
      <c r="I20" s="229" t="s">
        <v>367</v>
      </c>
      <c r="J20" s="229"/>
      <c r="K20" s="230"/>
    </row>
    <row r="21" spans="2:13" ht="15" customHeight="1" x14ac:dyDescent="0.25">
      <c r="B21" s="195"/>
      <c r="C21" s="184" t="s">
        <v>60</v>
      </c>
      <c r="D21" s="184"/>
      <c r="E21" s="184"/>
      <c r="F21" s="184"/>
      <c r="G21" s="233" t="s">
        <v>0</v>
      </c>
      <c r="H21" s="233"/>
      <c r="I21" s="229" t="s">
        <v>367</v>
      </c>
      <c r="J21" s="229"/>
      <c r="K21" s="230"/>
    </row>
    <row r="22" spans="2:13" ht="15" customHeight="1" thickBot="1" x14ac:dyDescent="0.3">
      <c r="B22" s="196"/>
      <c r="C22" s="207" t="s">
        <v>60</v>
      </c>
      <c r="D22" s="207"/>
      <c r="E22" s="207"/>
      <c r="F22" s="207"/>
      <c r="G22" s="226" t="s">
        <v>0</v>
      </c>
      <c r="H22" s="226"/>
      <c r="I22" s="231" t="s">
        <v>367</v>
      </c>
      <c r="J22" s="231"/>
      <c r="K22" s="232"/>
    </row>
    <row r="23" spans="2:13" ht="10.050000000000001" customHeight="1" thickBot="1" x14ac:dyDescent="0.3"/>
    <row r="24" spans="2:13" ht="14.4" thickBot="1" x14ac:dyDescent="0.3">
      <c r="B24" s="200" t="s">
        <v>9</v>
      </c>
      <c r="C24" s="201"/>
      <c r="D24" s="201"/>
      <c r="E24" s="201"/>
      <c r="F24" s="201"/>
      <c r="G24" s="201"/>
      <c r="H24" s="201"/>
      <c r="I24" s="201"/>
      <c r="J24" s="201"/>
      <c r="K24" s="202"/>
    </row>
    <row r="25" spans="2:13" x14ac:dyDescent="0.25">
      <c r="B25" s="101" t="s">
        <v>1</v>
      </c>
      <c r="C25" s="203"/>
      <c r="D25" s="203"/>
      <c r="E25" s="203"/>
      <c r="F25" s="203"/>
      <c r="G25" s="203"/>
      <c r="H25" s="203"/>
      <c r="I25" s="203"/>
      <c r="J25" s="203"/>
      <c r="K25" s="204"/>
    </row>
    <row r="26" spans="2:13" x14ac:dyDescent="0.25">
      <c r="B26" s="102" t="s">
        <v>10</v>
      </c>
      <c r="C26" s="184"/>
      <c r="D26" s="184"/>
      <c r="E26" s="184"/>
      <c r="F26" s="184"/>
      <c r="G26" s="184"/>
      <c r="H26" s="184"/>
      <c r="I26" s="184"/>
      <c r="J26" s="184"/>
      <c r="K26" s="185"/>
    </row>
    <row r="27" spans="2:13" x14ac:dyDescent="0.25">
      <c r="B27" s="102" t="s">
        <v>0</v>
      </c>
      <c r="C27" s="186" t="s">
        <v>367</v>
      </c>
      <c r="D27" s="186"/>
      <c r="E27" s="186"/>
      <c r="F27" s="186"/>
      <c r="G27" s="186"/>
      <c r="H27" s="186"/>
      <c r="I27" s="186"/>
      <c r="J27" s="186"/>
      <c r="K27" s="187"/>
    </row>
    <row r="28" spans="2:13" x14ac:dyDescent="0.25">
      <c r="B28" s="102" t="s">
        <v>11</v>
      </c>
      <c r="C28" s="184"/>
      <c r="D28" s="184"/>
      <c r="E28" s="184"/>
      <c r="F28" s="184"/>
      <c r="G28" s="184"/>
      <c r="H28" s="184"/>
      <c r="I28" s="184"/>
      <c r="J28" s="184"/>
      <c r="K28" s="185"/>
    </row>
    <row r="29" spans="2:13" ht="76.8" customHeight="1" thickBot="1" x14ac:dyDescent="0.3">
      <c r="B29" s="103" t="s">
        <v>25</v>
      </c>
      <c r="C29" s="198"/>
      <c r="D29" s="198"/>
      <c r="E29" s="198"/>
      <c r="F29" s="198"/>
      <c r="G29" s="198"/>
      <c r="H29" s="198"/>
      <c r="I29" s="198"/>
      <c r="J29" s="198"/>
      <c r="K29" s="199"/>
    </row>
    <row r="30" spans="2:13" ht="10.050000000000001" customHeight="1" thickBot="1" x14ac:dyDescent="0.3"/>
    <row r="31" spans="2:13" ht="14.4" thickBot="1" x14ac:dyDescent="0.3">
      <c r="B31" s="178" t="s">
        <v>371</v>
      </c>
      <c r="C31" s="179"/>
      <c r="D31" s="179"/>
      <c r="E31" s="179"/>
      <c r="F31" s="179"/>
      <c r="G31" s="179"/>
      <c r="H31" s="179"/>
      <c r="I31" s="179"/>
      <c r="J31" s="179"/>
      <c r="K31" s="180"/>
    </row>
    <row r="32" spans="2:13" x14ac:dyDescent="0.25">
      <c r="B32" s="212" t="s">
        <v>372</v>
      </c>
      <c r="C32" s="213"/>
      <c r="D32" s="213"/>
      <c r="E32" s="213"/>
      <c r="F32" s="214" t="s">
        <v>238</v>
      </c>
      <c r="G32" s="214"/>
      <c r="H32" s="214"/>
      <c r="I32" s="214"/>
      <c r="J32" s="214"/>
      <c r="K32" s="215"/>
    </row>
    <row r="33" spans="2:13" x14ac:dyDescent="0.25">
      <c r="B33" s="216" t="s">
        <v>373</v>
      </c>
      <c r="C33" s="217"/>
      <c r="D33" s="197" t="s">
        <v>376</v>
      </c>
      <c r="E33" s="197"/>
      <c r="F33" s="205" t="s">
        <v>471</v>
      </c>
      <c r="G33" s="205"/>
      <c r="H33" s="205"/>
      <c r="I33" s="205"/>
      <c r="J33" s="205"/>
      <c r="K33" s="206"/>
    </row>
    <row r="34" spans="2:13" x14ac:dyDescent="0.25">
      <c r="B34" s="218"/>
      <c r="C34" s="219"/>
      <c r="D34" s="197" t="s">
        <v>375</v>
      </c>
      <c r="E34" s="197"/>
      <c r="F34" s="205" t="s">
        <v>470</v>
      </c>
      <c r="G34" s="205"/>
      <c r="H34" s="205"/>
      <c r="I34" s="205"/>
      <c r="J34" s="205"/>
      <c r="K34" s="206"/>
    </row>
    <row r="35" spans="2:13" x14ac:dyDescent="0.25">
      <c r="B35" s="218"/>
      <c r="C35" s="219"/>
      <c r="D35" s="197" t="s">
        <v>377</v>
      </c>
      <c r="E35" s="197"/>
      <c r="F35" s="205" t="s">
        <v>470</v>
      </c>
      <c r="G35" s="205"/>
      <c r="H35" s="205"/>
      <c r="I35" s="205"/>
      <c r="J35" s="205"/>
      <c r="K35" s="206"/>
    </row>
    <row r="36" spans="2:13" x14ac:dyDescent="0.25">
      <c r="B36" s="220"/>
      <c r="C36" s="221"/>
      <c r="D36" s="197" t="s">
        <v>378</v>
      </c>
      <c r="E36" s="197"/>
      <c r="F36" s="205" t="s">
        <v>470</v>
      </c>
      <c r="G36" s="205"/>
      <c r="H36" s="205"/>
      <c r="I36" s="205"/>
      <c r="J36" s="205"/>
      <c r="K36" s="206"/>
    </row>
    <row r="37" spans="2:13" x14ac:dyDescent="0.25">
      <c r="B37" s="222" t="s">
        <v>374</v>
      </c>
      <c r="C37" s="223"/>
      <c r="D37" s="152">
        <v>1</v>
      </c>
      <c r="E37" s="165" t="s">
        <v>239</v>
      </c>
      <c r="F37" s="166" t="s">
        <v>239</v>
      </c>
      <c r="G37" s="153">
        <v>9</v>
      </c>
      <c r="H37" s="208"/>
      <c r="I37" s="208"/>
      <c r="J37" s="208"/>
      <c r="K37" s="209"/>
    </row>
    <row r="38" spans="2:13" x14ac:dyDescent="0.25">
      <c r="B38" s="222"/>
      <c r="C38" s="223"/>
      <c r="D38" s="154">
        <v>2</v>
      </c>
      <c r="E38" s="167" t="s">
        <v>239</v>
      </c>
      <c r="F38" s="168" t="s">
        <v>239</v>
      </c>
      <c r="G38" s="155">
        <v>10</v>
      </c>
      <c r="H38" s="208"/>
      <c r="I38" s="208"/>
      <c r="J38" s="208"/>
      <c r="K38" s="209"/>
    </row>
    <row r="39" spans="2:13" x14ac:dyDescent="0.25">
      <c r="B39" s="222"/>
      <c r="C39" s="223"/>
      <c r="D39" s="156">
        <v>3</v>
      </c>
      <c r="E39" s="167" t="s">
        <v>239</v>
      </c>
      <c r="F39" s="168" t="s">
        <v>239</v>
      </c>
      <c r="G39" s="155">
        <v>11</v>
      </c>
      <c r="H39" s="208"/>
      <c r="I39" s="208"/>
      <c r="J39" s="208"/>
      <c r="K39" s="209"/>
    </row>
    <row r="40" spans="2:13" x14ac:dyDescent="0.25">
      <c r="B40" s="222"/>
      <c r="C40" s="223"/>
      <c r="D40" s="154">
        <v>4</v>
      </c>
      <c r="E40" s="167" t="s">
        <v>239</v>
      </c>
      <c r="F40" s="168" t="s">
        <v>239</v>
      </c>
      <c r="G40" s="155">
        <v>12</v>
      </c>
      <c r="H40" s="208"/>
      <c r="I40" s="208"/>
      <c r="J40" s="208"/>
      <c r="K40" s="209"/>
    </row>
    <row r="41" spans="2:13" x14ac:dyDescent="0.25">
      <c r="B41" s="222"/>
      <c r="C41" s="223"/>
      <c r="D41" s="156">
        <v>5</v>
      </c>
      <c r="E41" s="167" t="s">
        <v>239</v>
      </c>
      <c r="F41" s="168" t="s">
        <v>239</v>
      </c>
      <c r="G41" s="155">
        <v>13</v>
      </c>
      <c r="H41" s="208"/>
      <c r="I41" s="208"/>
      <c r="J41" s="208"/>
      <c r="K41" s="209"/>
    </row>
    <row r="42" spans="2:13" x14ac:dyDescent="0.25">
      <c r="B42" s="222"/>
      <c r="C42" s="223"/>
      <c r="D42" s="154">
        <v>6</v>
      </c>
      <c r="E42" s="167" t="s">
        <v>239</v>
      </c>
      <c r="F42" s="168" t="s">
        <v>239</v>
      </c>
      <c r="G42" s="155">
        <v>14</v>
      </c>
      <c r="H42" s="208"/>
      <c r="I42" s="208"/>
      <c r="J42" s="208"/>
      <c r="K42" s="209"/>
    </row>
    <row r="43" spans="2:13" x14ac:dyDescent="0.25">
      <c r="B43" s="222"/>
      <c r="C43" s="223"/>
      <c r="D43" s="156">
        <v>7</v>
      </c>
      <c r="E43" s="167" t="s">
        <v>239</v>
      </c>
      <c r="F43" s="168" t="s">
        <v>239</v>
      </c>
      <c r="G43" s="155">
        <v>15</v>
      </c>
      <c r="H43" s="208"/>
      <c r="I43" s="208"/>
      <c r="J43" s="208"/>
      <c r="K43" s="209"/>
    </row>
    <row r="44" spans="2:13" ht="14.4" thickBot="1" x14ac:dyDescent="0.3">
      <c r="B44" s="224"/>
      <c r="C44" s="225"/>
      <c r="D44" s="157">
        <v>8</v>
      </c>
      <c r="E44" s="169" t="s">
        <v>239</v>
      </c>
      <c r="F44" s="170" t="s">
        <v>239</v>
      </c>
      <c r="G44" s="158">
        <v>16</v>
      </c>
      <c r="H44" s="210"/>
      <c r="I44" s="210"/>
      <c r="J44" s="210"/>
      <c r="K44" s="211"/>
    </row>
    <row r="45" spans="2:13" ht="10.050000000000001" customHeight="1" thickBot="1" x14ac:dyDescent="0.3"/>
    <row r="46" spans="2:13" ht="14.4" thickBot="1" x14ac:dyDescent="0.3">
      <c r="B46" s="178" t="s">
        <v>379</v>
      </c>
      <c r="C46" s="179"/>
      <c r="D46" s="179"/>
      <c r="E46" s="179"/>
      <c r="F46" s="179"/>
      <c r="G46" s="179"/>
      <c r="H46" s="179"/>
      <c r="I46" s="179"/>
      <c r="J46" s="179"/>
      <c r="K46" s="180"/>
    </row>
    <row r="47" spans="2:13" x14ac:dyDescent="0.25">
      <c r="B47" s="159" t="s">
        <v>5</v>
      </c>
      <c r="C47" s="159" t="s">
        <v>75</v>
      </c>
      <c r="D47" s="159" t="s">
        <v>74</v>
      </c>
      <c r="E47" s="160" t="s">
        <v>380</v>
      </c>
      <c r="F47" s="161" t="s">
        <v>381</v>
      </c>
      <c r="G47" s="162" t="s">
        <v>382</v>
      </c>
      <c r="H47" s="162" t="s">
        <v>383</v>
      </c>
      <c r="I47" s="162" t="s">
        <v>384</v>
      </c>
      <c r="J47" s="162" t="s">
        <v>385</v>
      </c>
      <c r="K47" s="162" t="s">
        <v>473</v>
      </c>
      <c r="M47" s="160" t="s">
        <v>380</v>
      </c>
    </row>
    <row r="48" spans="2:13" x14ac:dyDescent="0.25">
      <c r="B48" s="171" t="s">
        <v>386</v>
      </c>
      <c r="C48" s="176"/>
      <c r="D48" s="176"/>
      <c r="E48" s="173"/>
      <c r="F48" s="177"/>
      <c r="G48" s="173"/>
      <c r="H48" s="173"/>
      <c r="I48" s="173"/>
      <c r="J48" s="173"/>
      <c r="K48" s="173"/>
      <c r="M48" s="172" t="s">
        <v>391</v>
      </c>
    </row>
    <row r="49" spans="2:15" x14ac:dyDescent="0.25">
      <c r="B49" s="171" t="s">
        <v>387</v>
      </c>
      <c r="C49" s="176"/>
      <c r="D49" s="176"/>
      <c r="E49" s="173"/>
      <c r="F49" s="177"/>
      <c r="G49" s="173"/>
      <c r="H49" s="173"/>
      <c r="I49" s="173"/>
      <c r="J49" s="173"/>
      <c r="K49" s="173"/>
      <c r="M49" s="172" t="s">
        <v>392</v>
      </c>
    </row>
    <row r="50" spans="2:15" x14ac:dyDescent="0.25">
      <c r="B50" s="171" t="s">
        <v>388</v>
      </c>
      <c r="C50" s="176"/>
      <c r="D50" s="176"/>
      <c r="E50" s="173"/>
      <c r="F50" s="177"/>
      <c r="G50" s="173"/>
      <c r="H50" s="173"/>
      <c r="I50" s="173"/>
      <c r="J50" s="173"/>
      <c r="K50" s="173"/>
    </row>
    <row r="51" spans="2:15" ht="14.4" x14ac:dyDescent="0.3">
      <c r="B51" s="171" t="s">
        <v>389</v>
      </c>
      <c r="C51" s="176"/>
      <c r="D51" s="176"/>
      <c r="E51" s="173"/>
      <c r="F51" s="177"/>
      <c r="G51" s="173"/>
      <c r="H51" s="173"/>
      <c r="I51" s="173"/>
      <c r="J51" s="173"/>
      <c r="K51" s="173"/>
      <c r="M51" s="174"/>
      <c r="N51" s="163" t="s">
        <v>393</v>
      </c>
      <c r="O51" s="164"/>
    </row>
    <row r="52" spans="2:15" ht="14.4" x14ac:dyDescent="0.3">
      <c r="B52" s="171" t="s">
        <v>390</v>
      </c>
      <c r="C52" s="176"/>
      <c r="D52" s="176"/>
      <c r="E52" s="173"/>
      <c r="F52" s="177"/>
      <c r="G52" s="173"/>
      <c r="H52" s="173"/>
      <c r="I52" s="173"/>
      <c r="J52" s="173"/>
      <c r="K52" s="173"/>
      <c r="M52" s="171"/>
      <c r="N52" s="163" t="s">
        <v>394</v>
      </c>
      <c r="O52" s="164"/>
    </row>
    <row r="53" spans="2:15" x14ac:dyDescent="0.25">
      <c r="B53" s="171" t="s">
        <v>474</v>
      </c>
      <c r="C53" s="176"/>
      <c r="D53" s="176"/>
      <c r="E53" s="173"/>
      <c r="F53" s="177"/>
      <c r="G53" s="173"/>
      <c r="H53" s="173"/>
      <c r="I53" s="173"/>
      <c r="J53" s="173"/>
      <c r="K53" s="173"/>
    </row>
    <row r="54" spans="2:15" x14ac:dyDescent="0.25">
      <c r="B54" s="171" t="s">
        <v>475</v>
      </c>
      <c r="C54" s="176"/>
      <c r="D54" s="176"/>
      <c r="E54" s="173"/>
      <c r="F54" s="177"/>
      <c r="G54" s="173"/>
      <c r="H54" s="173"/>
      <c r="I54" s="173"/>
      <c r="J54" s="173"/>
      <c r="K54" s="173"/>
    </row>
    <row r="55" spans="2:15" x14ac:dyDescent="0.25">
      <c r="B55" s="171" t="s">
        <v>476</v>
      </c>
      <c r="C55" s="176"/>
      <c r="D55" s="176"/>
      <c r="E55" s="173"/>
      <c r="F55" s="177"/>
      <c r="G55" s="173"/>
      <c r="H55" s="173"/>
      <c r="I55" s="173"/>
      <c r="J55" s="173"/>
      <c r="K55" s="173"/>
    </row>
    <row r="56" spans="2:15" x14ac:dyDescent="0.25">
      <c r="B56" s="171" t="s">
        <v>477</v>
      </c>
      <c r="C56" s="176"/>
      <c r="D56" s="176"/>
      <c r="E56" s="173"/>
      <c r="F56" s="177"/>
      <c r="G56" s="173"/>
      <c r="H56" s="173"/>
      <c r="I56" s="173"/>
      <c r="J56" s="173"/>
      <c r="K56" s="173"/>
    </row>
    <row r="57" spans="2:15" x14ac:dyDescent="0.25">
      <c r="B57" s="171" t="s">
        <v>478</v>
      </c>
      <c r="C57" s="176"/>
      <c r="D57" s="176"/>
      <c r="E57" s="173"/>
      <c r="F57" s="177"/>
      <c r="G57" s="173"/>
      <c r="H57" s="173"/>
      <c r="I57" s="173"/>
      <c r="J57" s="173"/>
      <c r="K57" s="173"/>
    </row>
    <row r="58" spans="2:15" x14ac:dyDescent="0.25">
      <c r="B58" s="171" t="s">
        <v>415</v>
      </c>
      <c r="C58" s="173"/>
      <c r="D58" s="173"/>
      <c r="E58" s="173"/>
      <c r="F58" s="177"/>
      <c r="G58" s="173"/>
      <c r="H58" s="173"/>
      <c r="I58" s="173"/>
      <c r="J58" s="173"/>
      <c r="K58" s="173"/>
    </row>
    <row r="59" spans="2:15" x14ac:dyDescent="0.25">
      <c r="B59" s="171" t="s">
        <v>416</v>
      </c>
      <c r="C59" s="173"/>
      <c r="D59" s="173"/>
      <c r="E59" s="173"/>
      <c r="F59" s="177"/>
      <c r="G59" s="173"/>
      <c r="H59" s="173"/>
      <c r="I59" s="173"/>
      <c r="J59" s="173"/>
      <c r="K59" s="173"/>
    </row>
    <row r="60" spans="2:15" x14ac:dyDescent="0.25">
      <c r="B60" s="171" t="s">
        <v>417</v>
      </c>
      <c r="C60" s="173"/>
      <c r="D60" s="173"/>
      <c r="E60" s="173"/>
      <c r="F60" s="177"/>
      <c r="G60" s="173"/>
      <c r="H60" s="173"/>
      <c r="I60" s="173"/>
      <c r="J60" s="173"/>
      <c r="K60" s="173"/>
    </row>
    <row r="61" spans="2:15" x14ac:dyDescent="0.25">
      <c r="B61" s="171" t="s">
        <v>418</v>
      </c>
      <c r="C61" s="173"/>
      <c r="D61" s="173"/>
      <c r="E61" s="173"/>
      <c r="F61" s="177"/>
      <c r="G61" s="173"/>
      <c r="H61" s="173"/>
      <c r="I61" s="173"/>
      <c r="J61" s="173"/>
      <c r="K61" s="173"/>
    </row>
    <row r="62" spans="2:15" x14ac:dyDescent="0.25">
      <c r="B62" s="171" t="s">
        <v>419</v>
      </c>
      <c r="C62" s="173"/>
      <c r="D62" s="173"/>
      <c r="E62" s="173"/>
      <c r="F62" s="177"/>
      <c r="G62" s="173"/>
      <c r="H62" s="173"/>
      <c r="I62" s="173"/>
      <c r="J62" s="173"/>
      <c r="K62" s="173"/>
    </row>
    <row r="63" spans="2:15" x14ac:dyDescent="0.25">
      <c r="B63" s="171" t="s">
        <v>420</v>
      </c>
      <c r="C63" s="173"/>
      <c r="D63" s="173"/>
      <c r="E63" s="173"/>
      <c r="F63" s="177"/>
      <c r="G63" s="173"/>
      <c r="H63" s="173"/>
      <c r="I63" s="173"/>
      <c r="J63" s="173"/>
      <c r="K63" s="173"/>
    </row>
    <row r="64" spans="2:15" x14ac:dyDescent="0.25">
      <c r="B64" s="171" t="s">
        <v>421</v>
      </c>
      <c r="C64" s="173"/>
      <c r="D64" s="173"/>
      <c r="E64" s="173"/>
      <c r="F64" s="177"/>
      <c r="G64" s="173"/>
      <c r="H64" s="173"/>
      <c r="I64" s="173"/>
      <c r="J64" s="173"/>
      <c r="K64" s="173"/>
    </row>
    <row r="65" spans="2:11" x14ac:dyDescent="0.25">
      <c r="B65" s="171" t="s">
        <v>422</v>
      </c>
      <c r="C65" s="173"/>
      <c r="D65" s="173"/>
      <c r="E65" s="173"/>
      <c r="F65" s="177"/>
      <c r="G65" s="173"/>
      <c r="H65" s="173"/>
      <c r="I65" s="173"/>
      <c r="J65" s="173"/>
      <c r="K65" s="173"/>
    </row>
    <row r="66" spans="2:11" x14ac:dyDescent="0.25">
      <c r="B66" s="171" t="s">
        <v>423</v>
      </c>
      <c r="C66" s="173"/>
      <c r="D66" s="173"/>
      <c r="E66" s="173"/>
      <c r="F66" s="177"/>
      <c r="G66" s="173"/>
      <c r="H66" s="173"/>
      <c r="I66" s="173"/>
      <c r="J66" s="173"/>
      <c r="K66" s="173"/>
    </row>
    <row r="67" spans="2:11" x14ac:dyDescent="0.25">
      <c r="B67" s="171" t="s">
        <v>424</v>
      </c>
      <c r="C67" s="173"/>
      <c r="D67" s="173"/>
      <c r="E67" s="173"/>
      <c r="F67" s="177"/>
      <c r="G67" s="173"/>
      <c r="H67" s="173"/>
      <c r="I67" s="173"/>
      <c r="J67" s="173"/>
      <c r="K67" s="173"/>
    </row>
    <row r="68" spans="2:11" x14ac:dyDescent="0.25">
      <c r="B68" s="171" t="s">
        <v>425</v>
      </c>
      <c r="C68" s="173"/>
      <c r="D68" s="173"/>
      <c r="E68" s="173"/>
      <c r="F68" s="177"/>
      <c r="G68" s="173"/>
      <c r="H68" s="173"/>
      <c r="I68" s="173"/>
      <c r="J68" s="173"/>
      <c r="K68" s="173"/>
    </row>
    <row r="69" spans="2:11" x14ac:dyDescent="0.25">
      <c r="B69" s="171" t="s">
        <v>426</v>
      </c>
      <c r="C69" s="173"/>
      <c r="D69" s="173"/>
      <c r="E69" s="173"/>
      <c r="F69" s="177"/>
      <c r="G69" s="173"/>
      <c r="H69" s="173"/>
      <c r="I69" s="173"/>
      <c r="J69" s="173"/>
      <c r="K69" s="173"/>
    </row>
    <row r="70" spans="2:11" x14ac:dyDescent="0.25">
      <c r="B70" s="171" t="s">
        <v>427</v>
      </c>
      <c r="C70" s="173"/>
      <c r="D70" s="173"/>
      <c r="E70" s="173"/>
      <c r="F70" s="177"/>
      <c r="G70" s="173"/>
      <c r="H70" s="173"/>
      <c r="I70" s="173"/>
      <c r="J70" s="173"/>
      <c r="K70" s="173"/>
    </row>
    <row r="71" spans="2:11" x14ac:dyDescent="0.25">
      <c r="B71" s="171" t="s">
        <v>428</v>
      </c>
      <c r="C71" s="173"/>
      <c r="D71" s="173"/>
      <c r="E71" s="173"/>
      <c r="F71" s="177"/>
      <c r="G71" s="173"/>
      <c r="H71" s="173"/>
      <c r="I71" s="173"/>
      <c r="J71" s="173"/>
      <c r="K71" s="173"/>
    </row>
    <row r="72" spans="2:11" x14ac:dyDescent="0.25">
      <c r="B72" s="171" t="s">
        <v>429</v>
      </c>
      <c r="C72" s="173"/>
      <c r="D72" s="173"/>
      <c r="E72" s="173"/>
      <c r="F72" s="177"/>
      <c r="G72" s="173"/>
      <c r="H72" s="173"/>
      <c r="I72" s="173"/>
      <c r="J72" s="173"/>
      <c r="K72" s="173"/>
    </row>
    <row r="73" spans="2:11" x14ac:dyDescent="0.25">
      <c r="B73" s="171" t="s">
        <v>430</v>
      </c>
      <c r="C73" s="173"/>
      <c r="D73" s="173"/>
      <c r="E73" s="173"/>
      <c r="F73" s="177"/>
      <c r="G73" s="173"/>
      <c r="H73" s="173"/>
      <c r="I73" s="173"/>
      <c r="J73" s="173"/>
      <c r="K73" s="173"/>
    </row>
    <row r="74" spans="2:11" x14ac:dyDescent="0.25">
      <c r="B74" s="171" t="s">
        <v>431</v>
      </c>
      <c r="C74" s="173"/>
      <c r="D74" s="173"/>
      <c r="E74" s="173"/>
      <c r="F74" s="177"/>
      <c r="G74" s="173"/>
      <c r="H74" s="173"/>
      <c r="I74" s="173"/>
      <c r="J74" s="173"/>
      <c r="K74" s="173"/>
    </row>
    <row r="75" spans="2:11" x14ac:dyDescent="0.25">
      <c r="B75" s="171" t="s">
        <v>432</v>
      </c>
      <c r="C75" s="173"/>
      <c r="D75" s="173"/>
      <c r="E75" s="173"/>
      <c r="F75" s="177"/>
      <c r="G75" s="173"/>
      <c r="H75" s="173"/>
      <c r="I75" s="173"/>
      <c r="J75" s="173"/>
      <c r="K75" s="173"/>
    </row>
    <row r="76" spans="2:11" x14ac:dyDescent="0.25">
      <c r="B76" s="171" t="s">
        <v>433</v>
      </c>
      <c r="C76" s="173"/>
      <c r="D76" s="173"/>
      <c r="E76" s="173"/>
      <c r="F76" s="177"/>
      <c r="G76" s="173"/>
      <c r="H76" s="173"/>
      <c r="I76" s="173"/>
      <c r="J76" s="173"/>
      <c r="K76" s="173"/>
    </row>
    <row r="77" spans="2:11" x14ac:dyDescent="0.25">
      <c r="B77" s="171" t="s">
        <v>434</v>
      </c>
      <c r="C77" s="173"/>
      <c r="D77" s="173"/>
      <c r="E77" s="173"/>
      <c r="F77" s="177"/>
      <c r="G77" s="173"/>
      <c r="H77" s="173"/>
      <c r="I77" s="173"/>
      <c r="J77" s="173"/>
      <c r="K77" s="173"/>
    </row>
    <row r="78" spans="2:11" x14ac:dyDescent="0.25">
      <c r="B78" s="171" t="s">
        <v>435</v>
      </c>
      <c r="C78" s="173"/>
      <c r="D78" s="173"/>
      <c r="E78" s="173"/>
      <c r="F78" s="177"/>
      <c r="G78" s="173"/>
      <c r="H78" s="173"/>
      <c r="I78" s="173"/>
      <c r="J78" s="173"/>
      <c r="K78" s="173"/>
    </row>
    <row r="79" spans="2:11" x14ac:dyDescent="0.25">
      <c r="B79" s="171" t="s">
        <v>436</v>
      </c>
      <c r="C79" s="173"/>
      <c r="D79" s="173"/>
      <c r="E79" s="173"/>
      <c r="F79" s="177"/>
      <c r="G79" s="173"/>
      <c r="H79" s="173"/>
      <c r="I79" s="173"/>
      <c r="J79" s="173"/>
      <c r="K79" s="173"/>
    </row>
    <row r="80" spans="2:11" x14ac:dyDescent="0.25">
      <c r="B80" s="171" t="s">
        <v>437</v>
      </c>
      <c r="C80" s="173"/>
      <c r="D80" s="173"/>
      <c r="E80" s="173"/>
      <c r="F80" s="177"/>
      <c r="G80" s="173"/>
      <c r="H80" s="173"/>
      <c r="I80" s="173"/>
      <c r="J80" s="173"/>
      <c r="K80" s="173"/>
    </row>
    <row r="81" spans="2:11" x14ac:dyDescent="0.25">
      <c r="B81" s="171" t="s">
        <v>438</v>
      </c>
      <c r="C81" s="173"/>
      <c r="D81" s="173"/>
      <c r="E81" s="173"/>
      <c r="F81" s="177"/>
      <c r="G81" s="173"/>
      <c r="H81" s="173"/>
      <c r="I81" s="173"/>
      <c r="J81" s="173"/>
      <c r="K81" s="173"/>
    </row>
    <row r="82" spans="2:11" x14ac:dyDescent="0.25">
      <c r="B82" s="171" t="s">
        <v>439</v>
      </c>
      <c r="C82" s="173"/>
      <c r="D82" s="173"/>
      <c r="E82" s="173"/>
      <c r="F82" s="177"/>
      <c r="G82" s="173"/>
      <c r="H82" s="173"/>
      <c r="I82" s="173"/>
      <c r="J82" s="173"/>
      <c r="K82" s="173"/>
    </row>
    <row r="83" spans="2:11" x14ac:dyDescent="0.25">
      <c r="B83" s="171" t="s">
        <v>440</v>
      </c>
      <c r="C83" s="173"/>
      <c r="D83" s="173"/>
      <c r="E83" s="173"/>
      <c r="F83" s="177"/>
      <c r="G83" s="173"/>
      <c r="H83" s="173"/>
      <c r="I83" s="173"/>
      <c r="J83" s="173"/>
      <c r="K83" s="173"/>
    </row>
    <row r="84" spans="2:11" x14ac:dyDescent="0.25">
      <c r="B84" s="171" t="s">
        <v>441</v>
      </c>
      <c r="C84" s="173"/>
      <c r="D84" s="173"/>
      <c r="E84" s="173"/>
      <c r="F84" s="177"/>
      <c r="G84" s="173"/>
      <c r="H84" s="173"/>
      <c r="I84" s="173"/>
      <c r="J84" s="173"/>
      <c r="K84" s="173"/>
    </row>
    <row r="85" spans="2:11" x14ac:dyDescent="0.25">
      <c r="B85" s="171" t="s">
        <v>442</v>
      </c>
      <c r="C85" s="173"/>
      <c r="D85" s="173"/>
      <c r="E85" s="173"/>
      <c r="F85" s="177"/>
      <c r="G85" s="173"/>
      <c r="H85" s="173"/>
      <c r="I85" s="173"/>
      <c r="J85" s="173"/>
      <c r="K85" s="173"/>
    </row>
    <row r="86" spans="2:11" x14ac:dyDescent="0.25">
      <c r="B86" s="171" t="s">
        <v>443</v>
      </c>
      <c r="C86" s="173"/>
      <c r="D86" s="173"/>
      <c r="E86" s="173"/>
      <c r="F86" s="177"/>
      <c r="G86" s="173"/>
      <c r="H86" s="173"/>
      <c r="I86" s="173"/>
      <c r="J86" s="173"/>
      <c r="K86" s="173"/>
    </row>
    <row r="87" spans="2:11" x14ac:dyDescent="0.25">
      <c r="B87" s="171" t="s">
        <v>444</v>
      </c>
      <c r="C87" s="173"/>
      <c r="D87" s="173"/>
      <c r="E87" s="173"/>
      <c r="F87" s="177"/>
      <c r="G87" s="173"/>
      <c r="H87" s="173"/>
      <c r="I87" s="173"/>
      <c r="J87" s="173"/>
      <c r="K87" s="173"/>
    </row>
    <row r="88" spans="2:11" x14ac:dyDescent="0.25">
      <c r="B88" s="171" t="s">
        <v>445</v>
      </c>
      <c r="C88" s="173"/>
      <c r="D88" s="173"/>
      <c r="E88" s="173"/>
      <c r="F88" s="177"/>
      <c r="G88" s="173"/>
      <c r="H88" s="173"/>
      <c r="I88" s="173"/>
      <c r="J88" s="173"/>
      <c r="K88" s="173"/>
    </row>
    <row r="89" spans="2:11" x14ac:dyDescent="0.25">
      <c r="B89" s="171" t="s">
        <v>446</v>
      </c>
      <c r="C89" s="173"/>
      <c r="D89" s="173"/>
      <c r="E89" s="173"/>
      <c r="F89" s="177"/>
      <c r="G89" s="173"/>
      <c r="H89" s="173"/>
      <c r="I89" s="173"/>
      <c r="J89" s="173"/>
      <c r="K89" s="173"/>
    </row>
    <row r="90" spans="2:11" x14ac:dyDescent="0.25">
      <c r="B90" s="171" t="s">
        <v>447</v>
      </c>
      <c r="C90" s="173"/>
      <c r="D90" s="173"/>
      <c r="E90" s="173"/>
      <c r="F90" s="177"/>
      <c r="G90" s="173"/>
      <c r="H90" s="173"/>
      <c r="I90" s="173"/>
      <c r="J90" s="173"/>
      <c r="K90" s="173"/>
    </row>
    <row r="91" spans="2:11" x14ac:dyDescent="0.25">
      <c r="B91" s="171" t="s">
        <v>448</v>
      </c>
      <c r="C91" s="173"/>
      <c r="D91" s="173"/>
      <c r="E91" s="173"/>
      <c r="F91" s="177"/>
      <c r="G91" s="173"/>
      <c r="H91" s="173"/>
      <c r="I91" s="173"/>
      <c r="J91" s="173"/>
      <c r="K91" s="173"/>
    </row>
    <row r="92" spans="2:11" x14ac:dyDescent="0.25">
      <c r="B92" s="171" t="s">
        <v>449</v>
      </c>
      <c r="C92" s="173"/>
      <c r="D92" s="173"/>
      <c r="E92" s="173"/>
      <c r="F92" s="177"/>
      <c r="G92" s="173"/>
      <c r="H92" s="173"/>
      <c r="I92" s="173"/>
      <c r="J92" s="173"/>
      <c r="K92" s="173"/>
    </row>
    <row r="93" spans="2:11" x14ac:dyDescent="0.25">
      <c r="B93" s="171" t="s">
        <v>450</v>
      </c>
      <c r="C93" s="173"/>
      <c r="D93" s="173"/>
      <c r="E93" s="173"/>
      <c r="F93" s="177"/>
      <c r="G93" s="173"/>
      <c r="H93" s="173"/>
      <c r="I93" s="173"/>
      <c r="J93" s="173"/>
      <c r="K93" s="173"/>
    </row>
    <row r="94" spans="2:11" x14ac:dyDescent="0.25">
      <c r="B94" s="171" t="s">
        <v>451</v>
      </c>
      <c r="C94" s="173"/>
      <c r="D94" s="173"/>
      <c r="E94" s="173"/>
      <c r="F94" s="177"/>
      <c r="G94" s="173"/>
      <c r="H94" s="173"/>
      <c r="I94" s="173"/>
      <c r="J94" s="173"/>
      <c r="K94" s="173"/>
    </row>
    <row r="95" spans="2:11" x14ac:dyDescent="0.25">
      <c r="B95" s="171" t="s">
        <v>452</v>
      </c>
      <c r="C95" s="173"/>
      <c r="D95" s="173"/>
      <c r="E95" s="173"/>
      <c r="F95" s="177"/>
      <c r="G95" s="173"/>
      <c r="H95" s="173"/>
      <c r="I95" s="173"/>
      <c r="J95" s="173"/>
      <c r="K95" s="173"/>
    </row>
    <row r="96" spans="2:11" x14ac:dyDescent="0.25">
      <c r="B96" s="171" t="s">
        <v>453</v>
      </c>
      <c r="C96" s="173"/>
      <c r="D96" s="173"/>
      <c r="E96" s="173"/>
      <c r="F96" s="177"/>
      <c r="G96" s="173"/>
      <c r="H96" s="173"/>
      <c r="I96" s="173"/>
      <c r="J96" s="173"/>
      <c r="K96" s="173"/>
    </row>
    <row r="97" spans="2:11" x14ac:dyDescent="0.25">
      <c r="B97" s="171" t="s">
        <v>454</v>
      </c>
      <c r="C97" s="173"/>
      <c r="D97" s="173"/>
      <c r="E97" s="173"/>
      <c r="F97" s="177"/>
      <c r="G97" s="173"/>
      <c r="H97" s="173"/>
      <c r="I97" s="173"/>
      <c r="J97" s="173"/>
      <c r="K97" s="173"/>
    </row>
    <row r="98" spans="2:11" x14ac:dyDescent="0.25">
      <c r="B98" s="171" t="s">
        <v>455</v>
      </c>
      <c r="C98" s="173"/>
      <c r="D98" s="173"/>
      <c r="E98" s="173"/>
      <c r="F98" s="177"/>
      <c r="G98" s="173"/>
      <c r="H98" s="173"/>
      <c r="I98" s="173"/>
      <c r="J98" s="173"/>
      <c r="K98" s="173"/>
    </row>
    <row r="99" spans="2:11" x14ac:dyDescent="0.25">
      <c r="B99" s="171" t="s">
        <v>456</v>
      </c>
      <c r="C99" s="173"/>
      <c r="D99" s="173"/>
      <c r="E99" s="173"/>
      <c r="F99" s="177"/>
      <c r="G99" s="173"/>
      <c r="H99" s="173"/>
      <c r="I99" s="173"/>
      <c r="J99" s="173"/>
      <c r="K99" s="173"/>
    </row>
    <row r="100" spans="2:11" x14ac:dyDescent="0.25">
      <c r="B100" s="171" t="s">
        <v>457</v>
      </c>
      <c r="C100" s="173"/>
      <c r="D100" s="173"/>
      <c r="E100" s="173"/>
      <c r="F100" s="177"/>
      <c r="G100" s="173"/>
      <c r="H100" s="173"/>
      <c r="I100" s="173"/>
      <c r="J100" s="173"/>
      <c r="K100" s="173"/>
    </row>
    <row r="101" spans="2:11" x14ac:dyDescent="0.25">
      <c r="B101" s="171" t="s">
        <v>458</v>
      </c>
      <c r="C101" s="173"/>
      <c r="D101" s="173"/>
      <c r="E101" s="173"/>
      <c r="F101" s="177"/>
      <c r="G101" s="173"/>
      <c r="H101" s="173"/>
      <c r="I101" s="173"/>
      <c r="J101" s="173"/>
      <c r="K101" s="173"/>
    </row>
    <row r="102" spans="2:11" x14ac:dyDescent="0.25">
      <c r="B102" s="171" t="s">
        <v>459</v>
      </c>
      <c r="C102" s="173"/>
      <c r="D102" s="173"/>
      <c r="E102" s="173"/>
      <c r="F102" s="177"/>
      <c r="G102" s="173"/>
      <c r="H102" s="173"/>
      <c r="I102" s="173"/>
      <c r="J102" s="173"/>
      <c r="K102" s="173"/>
    </row>
    <row r="103" spans="2:11" x14ac:dyDescent="0.25">
      <c r="B103" s="171" t="s">
        <v>460</v>
      </c>
      <c r="C103" s="173"/>
      <c r="D103" s="173"/>
      <c r="E103" s="173"/>
      <c r="F103" s="177"/>
      <c r="G103" s="173"/>
      <c r="H103" s="173"/>
      <c r="I103" s="173"/>
      <c r="J103" s="173"/>
      <c r="K103" s="173"/>
    </row>
    <row r="104" spans="2:11" x14ac:dyDescent="0.25">
      <c r="B104" s="171" t="s">
        <v>461</v>
      </c>
      <c r="C104" s="173"/>
      <c r="D104" s="173"/>
      <c r="E104" s="173"/>
      <c r="F104" s="177"/>
      <c r="G104" s="173"/>
      <c r="H104" s="173"/>
      <c r="I104" s="173"/>
      <c r="J104" s="173"/>
      <c r="K104" s="173"/>
    </row>
    <row r="105" spans="2:11" x14ac:dyDescent="0.25">
      <c r="B105" s="171" t="s">
        <v>462</v>
      </c>
      <c r="C105" s="173"/>
      <c r="D105" s="173"/>
      <c r="E105" s="173"/>
      <c r="F105" s="177"/>
      <c r="G105" s="173"/>
      <c r="H105" s="173"/>
      <c r="I105" s="173"/>
      <c r="J105" s="173"/>
      <c r="K105" s="173"/>
    </row>
    <row r="106" spans="2:11" x14ac:dyDescent="0.25">
      <c r="B106" s="171" t="s">
        <v>463</v>
      </c>
      <c r="C106" s="173"/>
      <c r="D106" s="173"/>
      <c r="E106" s="173"/>
      <c r="F106" s="177"/>
      <c r="G106" s="173"/>
      <c r="H106" s="173"/>
      <c r="I106" s="173"/>
      <c r="J106" s="173"/>
      <c r="K106" s="173"/>
    </row>
    <row r="107" spans="2:11" x14ac:dyDescent="0.25">
      <c r="B107" s="171" t="s">
        <v>464</v>
      </c>
      <c r="C107" s="173"/>
      <c r="D107" s="173"/>
      <c r="E107" s="173"/>
      <c r="F107" s="177"/>
      <c r="G107" s="173"/>
      <c r="H107" s="173"/>
      <c r="I107" s="173"/>
      <c r="J107" s="173"/>
      <c r="K107" s="173"/>
    </row>
    <row r="108" spans="2:11" x14ac:dyDescent="0.25">
      <c r="B108" s="171" t="s">
        <v>465</v>
      </c>
      <c r="C108" s="173"/>
      <c r="D108" s="173"/>
      <c r="E108" s="173"/>
      <c r="F108" s="177"/>
      <c r="G108" s="173"/>
      <c r="H108" s="173"/>
      <c r="I108" s="173"/>
      <c r="J108" s="173"/>
      <c r="K108" s="173"/>
    </row>
    <row r="109" spans="2:11" x14ac:dyDescent="0.25">
      <c r="B109" s="171" t="s">
        <v>466</v>
      </c>
      <c r="C109" s="173"/>
      <c r="D109" s="173"/>
      <c r="E109" s="173"/>
      <c r="F109" s="177"/>
      <c r="G109" s="173"/>
      <c r="H109" s="173"/>
      <c r="I109" s="173"/>
      <c r="J109" s="173"/>
      <c r="K109" s="173"/>
    </row>
    <row r="110" spans="2:11" x14ac:dyDescent="0.25">
      <c r="B110" s="171" t="s">
        <v>467</v>
      </c>
      <c r="C110" s="173"/>
      <c r="D110" s="173"/>
      <c r="E110" s="173"/>
      <c r="F110" s="177"/>
      <c r="G110" s="173"/>
      <c r="H110" s="173"/>
      <c r="I110" s="173"/>
      <c r="J110" s="173"/>
      <c r="K110" s="173"/>
    </row>
    <row r="111" spans="2:11" x14ac:dyDescent="0.25">
      <c r="B111" s="171" t="s">
        <v>468</v>
      </c>
      <c r="C111" s="173"/>
      <c r="D111" s="173"/>
      <c r="E111" s="173"/>
      <c r="F111" s="177"/>
      <c r="G111" s="173"/>
      <c r="H111" s="173"/>
      <c r="I111" s="173"/>
      <c r="J111" s="173"/>
      <c r="K111" s="173"/>
    </row>
    <row r="112" spans="2:11" x14ac:dyDescent="0.25">
      <c r="B112" s="171" t="s">
        <v>469</v>
      </c>
      <c r="C112" s="173"/>
      <c r="D112" s="173"/>
      <c r="E112" s="173"/>
      <c r="F112" s="177"/>
      <c r="G112" s="173"/>
      <c r="H112" s="173"/>
      <c r="I112" s="173"/>
      <c r="J112" s="173"/>
      <c r="K112" s="173"/>
    </row>
  </sheetData>
  <sheetProtection algorithmName="SHA-512" hashValue="n4o465PpsSzpzk9wfGt5YfzkFfFPdQV33fHqkwy2yisncwjahGS1yJl1Mlb4nRv+qmefV8TxBBuvXw7CxGeLXQ==" saltValue="hR/v0b3GcK4cvI5aDxBsYw==" spinCount="100000" sheet="1" objects="1" scenarios="1" selectLockedCells="1"/>
  <mergeCells count="54">
    <mergeCell ref="G22:H22"/>
    <mergeCell ref="I17:K17"/>
    <mergeCell ref="I18:K18"/>
    <mergeCell ref="I19:K19"/>
    <mergeCell ref="I20:K20"/>
    <mergeCell ref="I21:K21"/>
    <mergeCell ref="I22:K22"/>
    <mergeCell ref="G21:H21"/>
    <mergeCell ref="G17:H17"/>
    <mergeCell ref="G18:H18"/>
    <mergeCell ref="G19:H19"/>
    <mergeCell ref="G20:H20"/>
    <mergeCell ref="C17:F17"/>
    <mergeCell ref="C18:F18"/>
    <mergeCell ref="C19:F19"/>
    <mergeCell ref="C20:F20"/>
    <mergeCell ref="B37:C44"/>
    <mergeCell ref="H37:K44"/>
    <mergeCell ref="B46:K46"/>
    <mergeCell ref="B24:K24"/>
    <mergeCell ref="C25:K25"/>
    <mergeCell ref="C26:K26"/>
    <mergeCell ref="C27:K27"/>
    <mergeCell ref="D35:E35"/>
    <mergeCell ref="D36:E36"/>
    <mergeCell ref="B32:E32"/>
    <mergeCell ref="F32:K32"/>
    <mergeCell ref="F33:K33"/>
    <mergeCell ref="F34:K34"/>
    <mergeCell ref="F35:K35"/>
    <mergeCell ref="F36:K36"/>
    <mergeCell ref="B33:C36"/>
    <mergeCell ref="D33:E33"/>
    <mergeCell ref="C6:K6"/>
    <mergeCell ref="C7:K7"/>
    <mergeCell ref="C14:K14"/>
    <mergeCell ref="B17:B22"/>
    <mergeCell ref="D34:E34"/>
    <mergeCell ref="C28:K28"/>
    <mergeCell ref="C29:K29"/>
    <mergeCell ref="B31:K31"/>
    <mergeCell ref="B9:K9"/>
    <mergeCell ref="C10:K10"/>
    <mergeCell ref="C11:K11"/>
    <mergeCell ref="C12:K12"/>
    <mergeCell ref="C13:K13"/>
    <mergeCell ref="C21:F21"/>
    <mergeCell ref="C22:F22"/>
    <mergeCell ref="B16:K16"/>
    <mergeCell ref="B1:K1"/>
    <mergeCell ref="C2:K2"/>
    <mergeCell ref="C3:K3"/>
    <mergeCell ref="C4:K4"/>
    <mergeCell ref="C5:K5"/>
  </mergeCells>
  <conditionalFormatting sqref="C2:C7 C25:C26 C28:C29">
    <cfRule type="containsBlanks" dxfId="11" priority="11">
      <formula>LEN(TRIM(C2))=0</formula>
    </cfRule>
  </conditionalFormatting>
  <conditionalFormatting sqref="C27">
    <cfRule type="containsBlanks" dxfId="10" priority="8">
      <formula>LEN(TRIM(C27))=0</formula>
    </cfRule>
  </conditionalFormatting>
  <conditionalFormatting sqref="C27 C5:C7">
    <cfRule type="containsText" dxfId="9" priority="7" operator="containsText" text="JJ/MM/AAAA">
      <formula>NOT(ISERROR(SEARCH("JJ/MM/AAAA",C5)))</formula>
    </cfRule>
  </conditionalFormatting>
  <conditionalFormatting sqref="C10">
    <cfRule type="containsBlanks" dxfId="8" priority="6">
      <formula>LEN(TRIM(C10))=0</formula>
    </cfRule>
  </conditionalFormatting>
  <conditionalFormatting sqref="C12">
    <cfRule type="containsText" dxfId="7" priority="3" operator="containsText" text="JJ/MM/AAAA">
      <formula>NOT(ISERROR(SEARCH("JJ/MM/AAAA",C12)))</formula>
    </cfRule>
  </conditionalFormatting>
  <conditionalFormatting sqref="I17:K22">
    <cfRule type="cellIs" dxfId="6" priority="2" operator="equal">
      <formula>"JJ/MM/AAAA"</formula>
    </cfRule>
  </conditionalFormatting>
  <conditionalFormatting sqref="C17:F22">
    <cfRule type="containsBlanks" dxfId="5" priority="1">
      <formula>LEN(TRIM(C17))=0</formula>
    </cfRule>
  </conditionalFormatting>
  <dataValidations count="11">
    <dataValidation type="list" allowBlank="1" showInputMessage="1" showErrorMessage="1" sqref="C4">
      <formula1>Genre</formula1>
    </dataValidation>
    <dataValidation type="list" allowBlank="1" showInputMessage="1" showErrorMessage="1" sqref="C25">
      <formula1>Medecins</formula1>
    </dataValidation>
    <dataValidation type="list" allowBlank="1" showInputMessage="1" showErrorMessage="1" sqref="C26">
      <formula1>Operateurs</formula1>
    </dataValidation>
    <dataValidation type="list" allowBlank="1" showInputMessage="1" showErrorMessage="1" sqref="C28">
      <formula1>Motif</formula1>
    </dataValidation>
    <dataValidation type="list" allowBlank="1" showInputMessage="1" showErrorMessage="1" sqref="E37:E44">
      <formula1>EMG_gauche</formula1>
    </dataValidation>
    <dataValidation type="list" allowBlank="1" showInputMessage="1" showErrorMessage="1" sqref="F37:F44">
      <formula1>EMG_droit</formula1>
    </dataValidation>
    <dataValidation type="list" allowBlank="1" showInputMessage="1" showErrorMessage="1" sqref="F32:K32">
      <formula1>Terrain_de_marche</formula1>
    </dataValidation>
    <dataValidation type="list" allowBlank="1" showInputMessage="1" showErrorMessage="1" sqref="C58:D112">
      <formula1>Plateformes</formula1>
    </dataValidation>
    <dataValidation type="list" allowBlank="1" showInputMessage="1" showErrorMessage="1" sqref="C10">
      <formula1>Pathologie</formula1>
    </dataValidation>
    <dataValidation type="list" allowBlank="1" showInputMessage="1" showErrorMessage="1" sqref="C13:K13">
      <formula1>Type_accident</formula1>
    </dataValidation>
    <dataValidation type="list" allowBlank="1" showInputMessage="1" showErrorMessage="1" sqref="C14:K15">
      <formula1>Cote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mpression1">
                <anchor moveWithCells="1" sizeWithCells="1">
                  <from>
                    <xdr:col>12</xdr:col>
                    <xdr:colOff>7620</xdr:colOff>
                    <xdr:row>1</xdr:row>
                    <xdr:rowOff>0</xdr:rowOff>
                  </from>
                  <to>
                    <xdr:col>14</xdr:col>
                    <xdr:colOff>708660</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listes!$F$2:$F$4</xm:f>
          </x14:formula1>
          <xm:sqref>F33:K36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30"/>
  <sheetViews>
    <sheetView topLeftCell="A4" zoomScaleNormal="100" workbookViewId="0">
      <selection activeCell="B27" sqref="B27:H27"/>
    </sheetView>
  </sheetViews>
  <sheetFormatPr baseColWidth="10" defaultRowHeight="13.8" x14ac:dyDescent="0.25"/>
  <cols>
    <col min="1" max="1" width="7" style="1" customWidth="1"/>
    <col min="2" max="2" width="13.109375" style="1" customWidth="1"/>
    <col min="3" max="7" width="11.5546875" style="1"/>
    <col min="8" max="8" width="12.21875" style="1" customWidth="1"/>
    <col min="9" max="16384" width="11.5546875" style="1"/>
  </cols>
  <sheetData>
    <row r="1" spans="2:8" ht="14.4" thickBot="1" x14ac:dyDescent="0.3">
      <c r="B1" s="178" t="s">
        <v>4</v>
      </c>
      <c r="C1" s="179"/>
      <c r="D1" s="179"/>
      <c r="E1" s="179"/>
      <c r="F1" s="179"/>
      <c r="G1" s="179"/>
      <c r="H1" s="180"/>
    </row>
    <row r="2" spans="2:8" x14ac:dyDescent="0.25">
      <c r="B2" s="97" t="s">
        <v>5</v>
      </c>
      <c r="C2" s="247">
        <f>Protocole!C2</f>
        <v>0</v>
      </c>
      <c r="D2" s="247"/>
      <c r="E2" s="247"/>
      <c r="F2" s="247"/>
      <c r="G2" s="247"/>
      <c r="H2" s="248"/>
    </row>
    <row r="3" spans="2:8" x14ac:dyDescent="0.25">
      <c r="B3" s="98" t="s">
        <v>6</v>
      </c>
      <c r="C3" s="253">
        <f>Protocole!C3</f>
        <v>0</v>
      </c>
      <c r="D3" s="253"/>
      <c r="E3" s="253"/>
      <c r="F3" s="253"/>
      <c r="G3" s="253"/>
      <c r="H3" s="254"/>
    </row>
    <row r="4" spans="2:8" x14ac:dyDescent="0.25">
      <c r="B4" s="98" t="s">
        <v>7</v>
      </c>
      <c r="C4" s="253">
        <f>Protocole!C4</f>
        <v>0</v>
      </c>
      <c r="D4" s="253"/>
      <c r="E4" s="253"/>
      <c r="F4" s="253"/>
      <c r="G4" s="253"/>
      <c r="H4" s="254"/>
    </row>
    <row r="5" spans="2:8" x14ac:dyDescent="0.25">
      <c r="B5" s="98" t="s">
        <v>14</v>
      </c>
      <c r="C5" s="255" t="e">
        <f>INT(_xlfn.DAYS(Protocole!C27,Protocole!C5)/365.25)</f>
        <v>#VALUE!</v>
      </c>
      <c r="D5" s="255"/>
      <c r="E5" s="255"/>
      <c r="F5" s="255"/>
      <c r="G5" s="255"/>
      <c r="H5" s="256"/>
    </row>
    <row r="6" spans="2:8" ht="14.4" thickBot="1" x14ac:dyDescent="0.3">
      <c r="B6" s="99" t="s">
        <v>17</v>
      </c>
      <c r="C6" s="257">
        <f>Protocole!C10</f>
        <v>0</v>
      </c>
      <c r="D6" s="257"/>
      <c r="E6" s="257"/>
      <c r="F6" s="257"/>
      <c r="G6" s="257"/>
      <c r="H6" s="258"/>
    </row>
    <row r="7" spans="2:8" ht="10.050000000000001" customHeight="1" thickBot="1" x14ac:dyDescent="0.3">
      <c r="B7" s="100"/>
      <c r="C7" s="100"/>
      <c r="D7" s="100"/>
      <c r="E7" s="100"/>
      <c r="F7" s="100"/>
      <c r="G7" s="100"/>
      <c r="H7" s="100"/>
    </row>
    <row r="8" spans="2:8" ht="14.4" thickBot="1" x14ac:dyDescent="0.3">
      <c r="B8" s="178" t="s">
        <v>9</v>
      </c>
      <c r="C8" s="179"/>
      <c r="D8" s="179"/>
      <c r="E8" s="179"/>
      <c r="F8" s="179"/>
      <c r="G8" s="179"/>
      <c r="H8" s="180"/>
    </row>
    <row r="9" spans="2:8" x14ac:dyDescent="0.25">
      <c r="B9" s="101" t="s">
        <v>1</v>
      </c>
      <c r="C9" s="245">
        <f>Protocole!C25</f>
        <v>0</v>
      </c>
      <c r="D9" s="245"/>
      <c r="E9" s="245"/>
      <c r="F9" s="245"/>
      <c r="G9" s="245"/>
      <c r="H9" s="246"/>
    </row>
    <row r="10" spans="2:8" x14ac:dyDescent="0.25">
      <c r="B10" s="102" t="s">
        <v>10</v>
      </c>
      <c r="C10" s="247">
        <f>Protocole!C26</f>
        <v>0</v>
      </c>
      <c r="D10" s="247"/>
      <c r="E10" s="247"/>
      <c r="F10" s="247"/>
      <c r="G10" s="247"/>
      <c r="H10" s="248"/>
    </row>
    <row r="11" spans="2:8" x14ac:dyDescent="0.25">
      <c r="B11" s="102" t="s">
        <v>0</v>
      </c>
      <c r="C11" s="249" t="str">
        <f>Protocole!C27</f>
        <v>JJ/MM/AAAA</v>
      </c>
      <c r="D11" s="249"/>
      <c r="E11" s="249"/>
      <c r="F11" s="249"/>
      <c r="G11" s="249"/>
      <c r="H11" s="250"/>
    </row>
    <row r="12" spans="2:8" x14ac:dyDescent="0.25">
      <c r="B12" s="102" t="s">
        <v>11</v>
      </c>
      <c r="C12" s="247">
        <f>Protocole!C28</f>
        <v>0</v>
      </c>
      <c r="D12" s="247"/>
      <c r="E12" s="247"/>
      <c r="F12" s="247"/>
      <c r="G12" s="247"/>
      <c r="H12" s="248"/>
    </row>
    <row r="13" spans="2:8" ht="76.8" customHeight="1" thickBot="1" x14ac:dyDescent="0.3">
      <c r="B13" s="103" t="s">
        <v>25</v>
      </c>
      <c r="C13" s="251">
        <f>Protocole!C29</f>
        <v>0</v>
      </c>
      <c r="D13" s="251"/>
      <c r="E13" s="251"/>
      <c r="F13" s="251"/>
      <c r="G13" s="251"/>
      <c r="H13" s="252"/>
    </row>
    <row r="14" spans="2:8" ht="10.050000000000001" customHeight="1" thickBot="1" x14ac:dyDescent="0.3">
      <c r="B14" s="100"/>
      <c r="C14" s="100"/>
      <c r="D14" s="100"/>
      <c r="E14" s="100"/>
      <c r="F14" s="100"/>
      <c r="G14" s="100"/>
      <c r="H14" s="100"/>
    </row>
    <row r="15" spans="2:8" ht="14.4" thickBot="1" x14ac:dyDescent="0.3">
      <c r="B15" s="178" t="s">
        <v>12</v>
      </c>
      <c r="C15" s="179"/>
      <c r="D15" s="179"/>
      <c r="E15" s="179"/>
      <c r="F15" s="179"/>
      <c r="G15" s="179"/>
      <c r="H15" s="180"/>
    </row>
    <row r="16" spans="2:8" ht="7.95" customHeight="1" x14ac:dyDescent="0.25">
      <c r="B16" s="259"/>
      <c r="C16" s="259"/>
      <c r="D16" s="259"/>
      <c r="E16" s="259"/>
      <c r="F16" s="259"/>
      <c r="G16" s="259"/>
      <c r="H16" s="259"/>
    </row>
    <row r="17" spans="2:8" x14ac:dyDescent="0.25">
      <c r="B17" s="244" t="s">
        <v>13</v>
      </c>
      <c r="C17" s="244"/>
      <c r="D17" s="244"/>
      <c r="E17" s="244"/>
      <c r="F17" s="244"/>
      <c r="G17" s="244"/>
      <c r="H17" s="244"/>
    </row>
    <row r="18" spans="2:8" x14ac:dyDescent="0.25">
      <c r="B18" s="236" t="s">
        <v>39</v>
      </c>
      <c r="C18" s="237"/>
      <c r="D18" s="237"/>
      <c r="E18" s="237"/>
      <c r="F18" s="238"/>
      <c r="G18" s="104" t="s">
        <v>15</v>
      </c>
      <c r="H18" s="104" t="s">
        <v>43</v>
      </c>
    </row>
    <row r="19" spans="2:8" x14ac:dyDescent="0.25">
      <c r="B19" s="239" t="str">
        <f>'Evidence (0)'!C3</f>
        <v>NA</v>
      </c>
      <c r="C19" s="240"/>
      <c r="D19" s="240"/>
      <c r="E19" s="240"/>
      <c r="F19" s="241"/>
      <c r="G19" s="105">
        <f>'Evidence (0)'!F3</f>
        <v>0</v>
      </c>
      <c r="H19" s="105">
        <f>'Evidence (0)'!H3</f>
        <v>0</v>
      </c>
    </row>
    <row r="20" spans="2:8" x14ac:dyDescent="0.25">
      <c r="B20" s="239" t="str">
        <f>'Evidence (0)'!C28</f>
        <v>NA</v>
      </c>
      <c r="C20" s="240"/>
      <c r="D20" s="240"/>
      <c r="E20" s="240"/>
      <c r="F20" s="241"/>
      <c r="G20" s="105">
        <f>'Evidence (0)'!F28</f>
        <v>0</v>
      </c>
      <c r="H20" s="105">
        <f>'Evidence (0)'!H28</f>
        <v>0</v>
      </c>
    </row>
    <row r="21" spans="2:8" x14ac:dyDescent="0.25">
      <c r="B21" s="239" t="str">
        <f>'Evidence (1)'!C3</f>
        <v>NA</v>
      </c>
      <c r="C21" s="240"/>
      <c r="D21" s="240"/>
      <c r="E21" s="240"/>
      <c r="F21" s="241"/>
      <c r="G21" s="105">
        <f>'Evidence (1)'!F3</f>
        <v>0</v>
      </c>
      <c r="H21" s="105">
        <f>'Evidence (1)'!H3</f>
        <v>0</v>
      </c>
    </row>
    <row r="22" spans="2:8" x14ac:dyDescent="0.25">
      <c r="B22" s="239" t="str">
        <f>'Evidence (1)'!C28</f>
        <v>NA</v>
      </c>
      <c r="C22" s="240"/>
      <c r="D22" s="240"/>
      <c r="E22" s="240"/>
      <c r="F22" s="241"/>
      <c r="G22" s="105">
        <v>0</v>
      </c>
      <c r="H22" s="105">
        <v>0</v>
      </c>
    </row>
    <row r="23" spans="2:8" x14ac:dyDescent="0.25">
      <c r="B23" s="239" t="str">
        <f>'Evidence (2)'!C3</f>
        <v>NA</v>
      </c>
      <c r="C23" s="240"/>
      <c r="D23" s="240"/>
      <c r="E23" s="240"/>
      <c r="F23" s="241"/>
      <c r="G23" s="105">
        <f>'Evidence (2)'!F3</f>
        <v>0</v>
      </c>
      <c r="H23" s="105">
        <f>'Evidence (2)'!H3</f>
        <v>0</v>
      </c>
    </row>
    <row r="24" spans="2:8" x14ac:dyDescent="0.25">
      <c r="B24" s="239" t="str">
        <f>'Evidence (2)'!C28</f>
        <v>NA</v>
      </c>
      <c r="C24" s="240"/>
      <c r="D24" s="240"/>
      <c r="E24" s="240"/>
      <c r="F24" s="241"/>
      <c r="G24" s="105">
        <f>'Evidence (2)'!F28</f>
        <v>0</v>
      </c>
      <c r="H24" s="105">
        <f>'Evidence (2)'!H28</f>
        <v>0</v>
      </c>
    </row>
    <row r="25" spans="2:8" ht="7.95" customHeight="1" x14ac:dyDescent="0.25">
      <c r="B25" s="243"/>
      <c r="C25" s="243"/>
      <c r="D25" s="243"/>
      <c r="E25" s="243"/>
      <c r="F25" s="243"/>
      <c r="G25" s="243"/>
      <c r="H25" s="243"/>
    </row>
    <row r="26" spans="2:8" x14ac:dyDescent="0.25">
      <c r="B26" s="223" t="s">
        <v>23</v>
      </c>
      <c r="C26" s="223"/>
      <c r="D26" s="223"/>
      <c r="E26" s="223"/>
      <c r="F26" s="223"/>
      <c r="G26" s="223"/>
      <c r="H26" s="223"/>
    </row>
    <row r="27" spans="2:8" ht="169.8" customHeight="1" x14ac:dyDescent="0.25">
      <c r="B27" s="242"/>
      <c r="C27" s="242"/>
      <c r="D27" s="242"/>
      <c r="E27" s="242"/>
      <c r="F27" s="242"/>
      <c r="G27" s="242"/>
      <c r="H27" s="242"/>
    </row>
    <row r="28" spans="2:8" ht="10.050000000000001" customHeight="1" x14ac:dyDescent="0.25"/>
    <row r="29" spans="2:8" x14ac:dyDescent="0.25">
      <c r="B29" s="6" t="s">
        <v>24</v>
      </c>
      <c r="C29" s="7"/>
      <c r="D29" s="7"/>
      <c r="E29" s="7"/>
      <c r="F29" s="7"/>
      <c r="G29" s="7"/>
      <c r="H29" s="7"/>
    </row>
    <row r="30" spans="2:8" ht="82.8" customHeight="1" x14ac:dyDescent="0.25">
      <c r="B30" s="235" t="s">
        <v>409</v>
      </c>
      <c r="C30" s="235"/>
      <c r="D30" s="235"/>
      <c r="E30" s="235"/>
      <c r="F30" s="235"/>
      <c r="G30" s="235"/>
      <c r="H30" s="235"/>
    </row>
  </sheetData>
  <sheetProtection algorithmName="SHA-512" hashValue="HuDVyyV0T0nt/mnHALa6pyrR+KRgbieHvf/u62GkUKTBEEIukuSWMQtvNip8uyrlSkF6LhX4EnXz+lINxUUFEQ==" saltValue="guZtCfvBUktPCRQFym3p0A==" spinCount="100000" sheet="1" objects="1" scenarios="1" selectLockedCells="1"/>
  <mergeCells count="26">
    <mergeCell ref="B1:H1"/>
    <mergeCell ref="B8:H8"/>
    <mergeCell ref="B17:H17"/>
    <mergeCell ref="C9:H9"/>
    <mergeCell ref="C10:H10"/>
    <mergeCell ref="C11:H11"/>
    <mergeCell ref="C12:H12"/>
    <mergeCell ref="C13:H13"/>
    <mergeCell ref="C2:H2"/>
    <mergeCell ref="C3:H3"/>
    <mergeCell ref="C4:H4"/>
    <mergeCell ref="C5:H5"/>
    <mergeCell ref="C6:H6"/>
    <mergeCell ref="B15:H15"/>
    <mergeCell ref="B16:H16"/>
    <mergeCell ref="B30:H30"/>
    <mergeCell ref="B18:F18"/>
    <mergeCell ref="B19:F19"/>
    <mergeCell ref="B20:F20"/>
    <mergeCell ref="B21:F21"/>
    <mergeCell ref="B22:F22"/>
    <mergeCell ref="B23:F23"/>
    <mergeCell ref="B24:F24"/>
    <mergeCell ref="B26:H26"/>
    <mergeCell ref="B27:H27"/>
    <mergeCell ref="B25:H25"/>
  </mergeCells>
  <conditionalFormatting sqref="B19:H24">
    <cfRule type="containsBlanks" dxfId="4" priority="5">
      <formula>LEN(TRIM(B19))=0</formula>
    </cfRule>
  </conditionalFormatting>
  <conditionalFormatting sqref="B27:H27">
    <cfRule type="containsBlanks" dxfId="3" priority="4">
      <formula>LEN(TRIM(B27))=0</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H27"/>
  <sheetViews>
    <sheetView topLeftCell="A4" zoomScaleNormal="100" workbookViewId="0">
      <selection activeCell="B27" sqref="B27:H27"/>
    </sheetView>
  </sheetViews>
  <sheetFormatPr baseColWidth="10" defaultRowHeight="13.8" x14ac:dyDescent="0.25"/>
  <cols>
    <col min="1" max="1" width="7" style="1" customWidth="1"/>
    <col min="2" max="2" width="18.33203125" style="1" customWidth="1"/>
    <col min="3" max="3" width="8.109375" style="1" customWidth="1"/>
    <col min="4" max="4" width="7.44140625" style="1" customWidth="1"/>
    <col min="5" max="5" width="11.5546875" style="1"/>
    <col min="6" max="6" width="16.33203125" style="1" customWidth="1"/>
    <col min="7" max="7" width="7.21875" style="1" customWidth="1"/>
    <col min="8" max="8" width="13.88671875" style="1" customWidth="1"/>
    <col min="9" max="16384" width="11.5546875" style="1"/>
  </cols>
  <sheetData>
    <row r="1" spans="2:8" ht="14.4" thickBot="1" x14ac:dyDescent="0.3">
      <c r="B1" s="260" t="s">
        <v>3</v>
      </c>
      <c r="C1" s="261"/>
      <c r="D1" s="261"/>
      <c r="E1" s="261"/>
      <c r="F1" s="261"/>
      <c r="G1" s="261"/>
      <c r="H1" s="262"/>
    </row>
    <row r="2" spans="2:8" ht="7.95" customHeight="1" x14ac:dyDescent="0.25">
      <c r="B2" s="10"/>
      <c r="C2" s="11"/>
      <c r="D2" s="11"/>
      <c r="E2" s="11"/>
      <c r="F2" s="11"/>
      <c r="G2" s="11"/>
      <c r="H2" s="11"/>
    </row>
    <row r="3" spans="2:8" ht="98.4" customHeight="1" x14ac:dyDescent="0.25">
      <c r="B3" s="8" t="s">
        <v>66</v>
      </c>
      <c r="C3" s="242"/>
      <c r="D3" s="242"/>
      <c r="E3" s="242"/>
      <c r="F3" s="242"/>
      <c r="G3" s="242"/>
      <c r="H3" s="242"/>
    </row>
    <row r="4" spans="2:8" ht="13.8" customHeight="1" x14ac:dyDescent="0.25">
      <c r="B4" s="269" t="s">
        <v>27</v>
      </c>
      <c r="C4" s="263" t="str">
        <f>Protocole!C17</f>
        <v>NA</v>
      </c>
      <c r="D4" s="264"/>
      <c r="E4" s="264"/>
      <c r="F4" s="265"/>
      <c r="G4" s="106" t="s">
        <v>28</v>
      </c>
      <c r="H4" s="175" t="str">
        <f>Protocole!I17</f>
        <v>JJ/MM/AAAA</v>
      </c>
    </row>
    <row r="5" spans="2:8" x14ac:dyDescent="0.25">
      <c r="B5" s="270"/>
      <c r="C5" s="263" t="str">
        <f>Protocole!C18</f>
        <v>NA</v>
      </c>
      <c r="D5" s="264"/>
      <c r="E5" s="264"/>
      <c r="F5" s="265"/>
      <c r="G5" s="106" t="s">
        <v>28</v>
      </c>
      <c r="H5" s="175" t="str">
        <f>Protocole!I18</f>
        <v>JJ/MM/AAAA</v>
      </c>
    </row>
    <row r="6" spans="2:8" x14ac:dyDescent="0.25">
      <c r="B6" s="270"/>
      <c r="C6" s="263" t="str">
        <f>Protocole!C19</f>
        <v>NA</v>
      </c>
      <c r="D6" s="264"/>
      <c r="E6" s="264"/>
      <c r="F6" s="265"/>
      <c r="G6" s="106" t="s">
        <v>28</v>
      </c>
      <c r="H6" s="175" t="str">
        <f>Protocole!I19</f>
        <v>JJ/MM/AAAA</v>
      </c>
    </row>
    <row r="7" spans="2:8" x14ac:dyDescent="0.25">
      <c r="B7" s="270"/>
      <c r="C7" s="263" t="str">
        <f>Protocole!C20</f>
        <v>NA</v>
      </c>
      <c r="D7" s="264"/>
      <c r="E7" s="264"/>
      <c r="F7" s="265"/>
      <c r="G7" s="106" t="s">
        <v>28</v>
      </c>
      <c r="H7" s="175" t="str">
        <f>Protocole!I20</f>
        <v>JJ/MM/AAAA</v>
      </c>
    </row>
    <row r="8" spans="2:8" x14ac:dyDescent="0.25">
      <c r="B8" s="270"/>
      <c r="C8" s="263" t="str">
        <f>Protocole!C21</f>
        <v>NA</v>
      </c>
      <c r="D8" s="264"/>
      <c r="E8" s="264"/>
      <c r="F8" s="265"/>
      <c r="G8" s="106" t="s">
        <v>28</v>
      </c>
      <c r="H8" s="175" t="str">
        <f>Protocole!I21</f>
        <v>JJ/MM/AAAA</v>
      </c>
    </row>
    <row r="9" spans="2:8" x14ac:dyDescent="0.25">
      <c r="B9" s="271"/>
      <c r="C9" s="263" t="str">
        <f>Protocole!C22</f>
        <v>NA</v>
      </c>
      <c r="D9" s="264"/>
      <c r="E9" s="264"/>
      <c r="F9" s="265"/>
      <c r="G9" s="106" t="s">
        <v>28</v>
      </c>
      <c r="H9" s="175" t="str">
        <f>Protocole!I22</f>
        <v>JJ/MM/AAAA</v>
      </c>
    </row>
    <row r="10" spans="2:8" ht="7.95" customHeight="1" x14ac:dyDescent="0.25"/>
    <row r="11" spans="2:8" x14ac:dyDescent="0.25">
      <c r="B11" s="9" t="s">
        <v>31</v>
      </c>
      <c r="C11" s="266">
        <f>Protocole!C7</f>
        <v>0</v>
      </c>
      <c r="D11" s="266"/>
      <c r="E11" s="276" t="s">
        <v>61</v>
      </c>
      <c r="F11" s="276"/>
      <c r="G11" s="275"/>
      <c r="H11" s="275"/>
    </row>
    <row r="12" spans="2:8" x14ac:dyDescent="0.25">
      <c r="B12" s="9" t="s">
        <v>32</v>
      </c>
      <c r="C12" s="266">
        <f>Protocole!C6</f>
        <v>0</v>
      </c>
      <c r="D12" s="266"/>
      <c r="E12" s="267" t="s">
        <v>62</v>
      </c>
      <c r="F12" s="268"/>
      <c r="G12" s="275"/>
      <c r="H12" s="275"/>
    </row>
    <row r="13" spans="2:8" x14ac:dyDescent="0.25">
      <c r="B13" s="9" t="s">
        <v>370</v>
      </c>
      <c r="C13" s="266" t="e">
        <f>C12/(C11/100*C11/100)</f>
        <v>#DIV/0!</v>
      </c>
      <c r="D13" s="266"/>
      <c r="E13" s="276" t="s">
        <v>29</v>
      </c>
      <c r="F13" s="276"/>
      <c r="G13" s="275"/>
      <c r="H13" s="275"/>
    </row>
    <row r="14" spans="2:8" x14ac:dyDescent="0.25">
      <c r="B14" s="5" t="s">
        <v>33</v>
      </c>
      <c r="C14" s="184"/>
      <c r="D14" s="184"/>
      <c r="E14" s="4" t="s">
        <v>30</v>
      </c>
      <c r="F14" s="4"/>
      <c r="G14" s="275"/>
      <c r="H14" s="275"/>
    </row>
    <row r="15" spans="2:8" ht="7.95" customHeight="1" x14ac:dyDescent="0.25"/>
    <row r="16" spans="2:8" ht="124.8" customHeight="1" x14ac:dyDescent="0.25">
      <c r="B16" s="8" t="s">
        <v>34</v>
      </c>
      <c r="C16" s="242"/>
      <c r="D16" s="242"/>
      <c r="E16" s="242"/>
      <c r="F16" s="242"/>
      <c r="G16" s="242"/>
      <c r="H16" s="242"/>
    </row>
    <row r="17" spans="2:8" ht="14.4" thickBot="1" x14ac:dyDescent="0.3"/>
    <row r="18" spans="2:8" ht="15" customHeight="1" thickBot="1" x14ac:dyDescent="0.3">
      <c r="B18" s="260" t="s">
        <v>35</v>
      </c>
      <c r="C18" s="261"/>
      <c r="D18" s="261"/>
      <c r="E18" s="261"/>
      <c r="F18" s="261"/>
      <c r="G18" s="261"/>
      <c r="H18" s="262"/>
    </row>
    <row r="19" spans="2:8" ht="7.95" customHeight="1" x14ac:dyDescent="0.25">
      <c r="B19" s="10"/>
      <c r="C19" s="11"/>
      <c r="D19" s="11"/>
      <c r="E19" s="11"/>
      <c r="F19" s="11"/>
      <c r="G19" s="11"/>
      <c r="H19" s="11"/>
    </row>
    <row r="20" spans="2:8" ht="30" customHeight="1" x14ac:dyDescent="0.25">
      <c r="B20" s="272" t="s">
        <v>36</v>
      </c>
      <c r="C20" s="273"/>
      <c r="D20" s="273"/>
      <c r="E20" s="273"/>
      <c r="F20" s="273"/>
      <c r="G20" s="273"/>
      <c r="H20" s="274"/>
    </row>
    <row r="21" spans="2:8" ht="45" customHeight="1" x14ac:dyDescent="0.25">
      <c r="B21" s="184"/>
      <c r="C21" s="184"/>
      <c r="D21" s="184"/>
      <c r="E21" s="184"/>
      <c r="F21" s="184"/>
      <c r="G21" s="184"/>
      <c r="H21" s="184"/>
    </row>
    <row r="22" spans="2:8" ht="7.95" customHeight="1" x14ac:dyDescent="0.25"/>
    <row r="23" spans="2:8" ht="30" customHeight="1" x14ac:dyDescent="0.25">
      <c r="B23" s="272" t="s">
        <v>37</v>
      </c>
      <c r="C23" s="273"/>
      <c r="D23" s="273"/>
      <c r="E23" s="273"/>
      <c r="F23" s="273"/>
      <c r="G23" s="273"/>
      <c r="H23" s="274"/>
    </row>
    <row r="24" spans="2:8" ht="45" customHeight="1" x14ac:dyDescent="0.25">
      <c r="B24" s="184"/>
      <c r="C24" s="184"/>
      <c r="D24" s="184"/>
      <c r="E24" s="184"/>
      <c r="F24" s="184"/>
      <c r="G24" s="184"/>
      <c r="H24" s="184"/>
    </row>
    <row r="25" spans="2:8" ht="7.95" customHeight="1" x14ac:dyDescent="0.25"/>
    <row r="26" spans="2:8" ht="30" customHeight="1" x14ac:dyDescent="0.25">
      <c r="B26" s="272" t="s">
        <v>38</v>
      </c>
      <c r="C26" s="273"/>
      <c r="D26" s="273"/>
      <c r="E26" s="273"/>
      <c r="F26" s="273"/>
      <c r="G26" s="273"/>
      <c r="H26" s="274"/>
    </row>
    <row r="27" spans="2:8" ht="45" customHeight="1" x14ac:dyDescent="0.25">
      <c r="B27" s="184"/>
      <c r="C27" s="184"/>
      <c r="D27" s="184"/>
      <c r="E27" s="184"/>
      <c r="F27" s="184"/>
      <c r="G27" s="184"/>
      <c r="H27" s="184"/>
    </row>
  </sheetData>
  <sheetProtection algorithmName="SHA-512" hashValue="viSJNBzUWNoh6uAauqLmc59u4KwQQ9uUvnED6LRBcXldbGVrHKShm37NRspYE1peCxcrGDPbSJogL81Z8JedBg==" saltValue="c9uCNd//Q63kmxJocaVl4g==" spinCount="100000" sheet="1" objects="1" scenarios="1" selectLockedCells="1"/>
  <mergeCells count="28">
    <mergeCell ref="B26:H26"/>
    <mergeCell ref="B27:H27"/>
    <mergeCell ref="B24:H24"/>
    <mergeCell ref="G11:H11"/>
    <mergeCell ref="G12:H12"/>
    <mergeCell ref="G13:H13"/>
    <mergeCell ref="G14:H14"/>
    <mergeCell ref="B21:H21"/>
    <mergeCell ref="B23:H23"/>
    <mergeCell ref="B18:H18"/>
    <mergeCell ref="C14:D14"/>
    <mergeCell ref="C16:H16"/>
    <mergeCell ref="B20:H20"/>
    <mergeCell ref="E11:F11"/>
    <mergeCell ref="E13:F13"/>
    <mergeCell ref="C11:D11"/>
    <mergeCell ref="C12:D12"/>
    <mergeCell ref="C13:D13"/>
    <mergeCell ref="E12:F12"/>
    <mergeCell ref="B4:B9"/>
    <mergeCell ref="C4:F4"/>
    <mergeCell ref="C5:F5"/>
    <mergeCell ref="C6:F6"/>
    <mergeCell ref="B1:H1"/>
    <mergeCell ref="C3:H3"/>
    <mergeCell ref="C7:F7"/>
    <mergeCell ref="C8:F8"/>
    <mergeCell ref="C9:F9"/>
  </mergeCells>
  <conditionalFormatting sqref="C3:H3">
    <cfRule type="containsBlanks" dxfId="2" priority="5">
      <formula>LEN(TRIM(C3))=0</formula>
    </cfRule>
  </conditionalFormatting>
  <conditionalFormatting sqref="C11:D14 C16:H16 B21:H21 B24:H24 B27:H27 C4:F9 H4:H9">
    <cfRule type="containsBlanks" dxfId="1" priority="4">
      <formula>LEN(TRIM(B4))=0</formula>
    </cfRule>
  </conditionalFormatting>
  <conditionalFormatting sqref="H4:H9">
    <cfRule type="cellIs" dxfId="0" priority="3" operator="equal">
      <formula>"AAAA/MM/JJ"</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listes!$C$2:$C$8</xm:f>
          </x14:formula1>
          <xm:sqref>C14:D14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H51"/>
  <sheetViews>
    <sheetView zoomScale="85" zoomScaleNormal="85" workbookViewId="0">
      <selection activeCell="I44" sqref="I44"/>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405</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405</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algorithmName="SHA-512" hashValue="wy+NGshJ6ORJgg2T17jF/RfKOkQKAK9QsyThG2CCiXb00Xpo8OBU3rttEDiUEo6lTVpvCRVTBIn7ZQaIoDnRUw==" saltValue="zNdopzOV1cXtFK0/1DBfGw==" spinCount="100000" sheet="1" objects="1" scenarios="1" insertColumns="0" insertRows="0" deleteColumns="0" deleteRows="0"/>
  <mergeCells count="59">
    <mergeCell ref="D28:E28"/>
    <mergeCell ref="B5:H5"/>
    <mergeCell ref="C6:E6"/>
    <mergeCell ref="F6:H6"/>
    <mergeCell ref="C7:E7"/>
    <mergeCell ref="F7:H7"/>
    <mergeCell ref="B17:H17"/>
    <mergeCell ref="B11:H11"/>
    <mergeCell ref="C12:E12"/>
    <mergeCell ref="F12:H12"/>
    <mergeCell ref="C13:E13"/>
    <mergeCell ref="F14:H14"/>
    <mergeCell ref="C15:E15"/>
    <mergeCell ref="F15:H15"/>
    <mergeCell ref="F25:H25"/>
    <mergeCell ref="C25:E25"/>
    <mergeCell ref="C24:E24"/>
    <mergeCell ref="F24:H24"/>
    <mergeCell ref="B23:H23"/>
    <mergeCell ref="B1:H1"/>
    <mergeCell ref="F21:H21"/>
    <mergeCell ref="F18:H18"/>
    <mergeCell ref="F19:H19"/>
    <mergeCell ref="F20:H20"/>
    <mergeCell ref="F13:H13"/>
    <mergeCell ref="C14:E14"/>
    <mergeCell ref="C9:E9"/>
    <mergeCell ref="F9:H9"/>
    <mergeCell ref="C8:E8"/>
    <mergeCell ref="F8:H8"/>
    <mergeCell ref="D3:E3"/>
    <mergeCell ref="C37:E37"/>
    <mergeCell ref="F37:H37"/>
    <mergeCell ref="B30:H30"/>
    <mergeCell ref="C31:E31"/>
    <mergeCell ref="F31:H31"/>
    <mergeCell ref="C32:E32"/>
    <mergeCell ref="F32:H32"/>
    <mergeCell ref="C33:E33"/>
    <mergeCell ref="F33:H33"/>
    <mergeCell ref="C34:E34"/>
    <mergeCell ref="F34:H34"/>
    <mergeCell ref="B36:H36"/>
    <mergeCell ref="C38:E38"/>
    <mergeCell ref="F38:H38"/>
    <mergeCell ref="C39:E39"/>
    <mergeCell ref="F39:H39"/>
    <mergeCell ref="C40:E40"/>
    <mergeCell ref="F40:H40"/>
    <mergeCell ref="C50:E50"/>
    <mergeCell ref="F50:H50"/>
    <mergeCell ref="B42:H42"/>
    <mergeCell ref="F43:H43"/>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H51"/>
  <sheetViews>
    <sheetView zoomScale="85" zoomScaleNormal="85" workbookViewId="0">
      <selection activeCell="L21" sqref="L21"/>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405</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405</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12:E12"/>
    <mergeCell ref="F12:H12"/>
    <mergeCell ref="B1:H1"/>
    <mergeCell ref="D3:E3"/>
    <mergeCell ref="B5:H5"/>
    <mergeCell ref="C6:E6"/>
    <mergeCell ref="F6:H6"/>
    <mergeCell ref="C7:E7"/>
    <mergeCell ref="F7:H7"/>
    <mergeCell ref="C8:E8"/>
    <mergeCell ref="F8:H8"/>
    <mergeCell ref="C9:E9"/>
    <mergeCell ref="F9:H9"/>
    <mergeCell ref="B11:H11"/>
    <mergeCell ref="C13:E13"/>
    <mergeCell ref="F13:H13"/>
    <mergeCell ref="C14:E14"/>
    <mergeCell ref="F14:H14"/>
    <mergeCell ref="C15:E15"/>
    <mergeCell ref="F15:H15"/>
    <mergeCell ref="B30:H30"/>
    <mergeCell ref="B17:H17"/>
    <mergeCell ref="F18:H18"/>
    <mergeCell ref="F19:H19"/>
    <mergeCell ref="F20:H20"/>
    <mergeCell ref="F21:H21"/>
    <mergeCell ref="B23:H23"/>
    <mergeCell ref="C24:E24"/>
    <mergeCell ref="F24:H24"/>
    <mergeCell ref="C25:E25"/>
    <mergeCell ref="F25:H25"/>
    <mergeCell ref="D28:E28"/>
    <mergeCell ref="C31:E31"/>
    <mergeCell ref="F31:H31"/>
    <mergeCell ref="C32:E32"/>
    <mergeCell ref="F32:H32"/>
    <mergeCell ref="C33:E33"/>
    <mergeCell ref="F33:H33"/>
    <mergeCell ref="F43:H43"/>
    <mergeCell ref="C34:E34"/>
    <mergeCell ref="F34:H34"/>
    <mergeCell ref="B36:H36"/>
    <mergeCell ref="C37:E37"/>
    <mergeCell ref="F37:H37"/>
    <mergeCell ref="C38:E38"/>
    <mergeCell ref="F38:H38"/>
    <mergeCell ref="C39:E39"/>
    <mergeCell ref="F39:H39"/>
    <mergeCell ref="C40:E40"/>
    <mergeCell ref="F40:H40"/>
    <mergeCell ref="B42:H42"/>
    <mergeCell ref="C50:E50"/>
    <mergeCell ref="F50:H50"/>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listes!$B$2:$B$4</xm:f>
          </x14:formula1>
          <xm:sqref>H3 H28</xm:sqref>
        </x14:dataValidation>
        <x14:dataValidation type="list" allowBlank="1" showInputMessage="1" showErrorMessage="1">
          <x14:formula1>
            <xm:f>listes!$A$2:$A$4</xm:f>
          </x14:formula1>
          <xm:sqref>F3 F28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B1:H51"/>
  <sheetViews>
    <sheetView zoomScale="85" zoomScaleNormal="85" workbookViewId="0">
      <selection activeCell="L13" sqref="L13"/>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405</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405</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12:E12"/>
    <mergeCell ref="F12:H12"/>
    <mergeCell ref="B1:H1"/>
    <mergeCell ref="D3:E3"/>
    <mergeCell ref="B5:H5"/>
    <mergeCell ref="C6:E6"/>
    <mergeCell ref="F6:H6"/>
    <mergeCell ref="C7:E7"/>
    <mergeCell ref="F7:H7"/>
    <mergeCell ref="C8:E8"/>
    <mergeCell ref="F8:H8"/>
    <mergeCell ref="C9:E9"/>
    <mergeCell ref="F9:H9"/>
    <mergeCell ref="B11:H11"/>
    <mergeCell ref="C13:E13"/>
    <mergeCell ref="F13:H13"/>
    <mergeCell ref="C14:E14"/>
    <mergeCell ref="F14:H14"/>
    <mergeCell ref="C15:E15"/>
    <mergeCell ref="F15:H15"/>
    <mergeCell ref="B30:H30"/>
    <mergeCell ref="B17:H17"/>
    <mergeCell ref="F18:H18"/>
    <mergeCell ref="F19:H19"/>
    <mergeCell ref="F20:H20"/>
    <mergeCell ref="F21:H21"/>
    <mergeCell ref="B23:H23"/>
    <mergeCell ref="C24:E24"/>
    <mergeCell ref="F24:H24"/>
    <mergeCell ref="C25:E25"/>
    <mergeCell ref="F25:H25"/>
    <mergeCell ref="D28:E28"/>
    <mergeCell ref="C31:E31"/>
    <mergeCell ref="F31:H31"/>
    <mergeCell ref="C32:E32"/>
    <mergeCell ref="F32:H32"/>
    <mergeCell ref="C33:E33"/>
    <mergeCell ref="F33:H33"/>
    <mergeCell ref="F43:H43"/>
    <mergeCell ref="C34:E34"/>
    <mergeCell ref="F34:H34"/>
    <mergeCell ref="B36:H36"/>
    <mergeCell ref="C37:E37"/>
    <mergeCell ref="F37:H37"/>
    <mergeCell ref="C38:E38"/>
    <mergeCell ref="F38:H38"/>
    <mergeCell ref="C39:E39"/>
    <mergeCell ref="F39:H39"/>
    <mergeCell ref="C40:E40"/>
    <mergeCell ref="F40:H40"/>
    <mergeCell ref="B42:H42"/>
    <mergeCell ref="C50:E50"/>
    <mergeCell ref="F50:H50"/>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41"/>
  <sheetViews>
    <sheetView zoomScaleNormal="100" zoomScalePageLayoutView="70" workbookViewId="0">
      <selection activeCell="I11" sqref="I11"/>
    </sheetView>
  </sheetViews>
  <sheetFormatPr baseColWidth="10" defaultRowHeight="13.8" x14ac:dyDescent="0.25"/>
  <cols>
    <col min="1" max="1" width="7" style="1" customWidth="1"/>
    <col min="2" max="2" width="4.88671875" style="1" customWidth="1"/>
    <col min="3" max="3" width="20.6640625" style="1" customWidth="1"/>
    <col min="4" max="4" width="1.77734375" style="1" customWidth="1"/>
    <col min="5" max="5" width="4.88671875" style="1" customWidth="1"/>
    <col min="6" max="6" width="21.33203125" style="1" customWidth="1"/>
    <col min="7" max="7" width="4.88671875" style="1" customWidth="1"/>
    <col min="8" max="8" width="24.33203125" style="1" customWidth="1"/>
    <col min="9" max="16384" width="11.5546875" style="1"/>
  </cols>
  <sheetData>
    <row r="1" spans="1:8" ht="15" customHeight="1" thickBot="1" x14ac:dyDescent="0.3">
      <c r="B1" s="260" t="s">
        <v>77</v>
      </c>
      <c r="C1" s="261"/>
      <c r="D1" s="261"/>
      <c r="E1" s="261"/>
      <c r="F1" s="261"/>
      <c r="G1" s="261"/>
      <c r="H1" s="262"/>
    </row>
    <row r="2" spans="1:8" ht="7.95" customHeight="1" x14ac:dyDescent="0.25">
      <c r="B2" s="10"/>
      <c r="C2" s="11"/>
      <c r="D2" s="11"/>
      <c r="E2" s="11"/>
      <c r="F2" s="12"/>
      <c r="G2" s="11"/>
      <c r="H2" s="11"/>
    </row>
    <row r="3" spans="1:8" x14ac:dyDescent="0.25">
      <c r="A3" s="15"/>
      <c r="B3" s="14" t="s">
        <v>78</v>
      </c>
    </row>
    <row r="4" spans="1:8" ht="7.95" customHeight="1" thickBot="1" x14ac:dyDescent="0.3">
      <c r="A4" s="15"/>
      <c r="B4" s="29"/>
      <c r="C4" s="29"/>
      <c r="D4" s="29"/>
      <c r="E4" s="29"/>
      <c r="F4" s="29"/>
      <c r="G4" s="29"/>
      <c r="H4" s="29"/>
    </row>
    <row r="5" spans="1:8" ht="13.8" customHeight="1" thickTop="1" x14ac:dyDescent="0.25">
      <c r="A5" s="15"/>
      <c r="B5" s="297"/>
      <c r="C5" s="31" t="s">
        <v>79</v>
      </c>
      <c r="D5" s="32"/>
      <c r="E5" s="297"/>
      <c r="F5" s="31" t="s">
        <v>90</v>
      </c>
      <c r="G5" s="32"/>
      <c r="H5" s="294" t="s">
        <v>106</v>
      </c>
    </row>
    <row r="6" spans="1:8" x14ac:dyDescent="0.25">
      <c r="A6" s="15"/>
      <c r="B6" s="298"/>
      <c r="C6" s="16" t="s">
        <v>80</v>
      </c>
      <c r="D6" s="2"/>
      <c r="E6" s="298"/>
      <c r="F6" s="16" t="s">
        <v>80</v>
      </c>
      <c r="G6" s="2"/>
      <c r="H6" s="289"/>
    </row>
    <row r="7" spans="1:8" ht="13.8" customHeight="1" x14ac:dyDescent="0.25">
      <c r="A7" s="15"/>
      <c r="B7" s="295"/>
      <c r="C7" s="25" t="s">
        <v>81</v>
      </c>
      <c r="D7" s="26"/>
      <c r="E7" s="299"/>
      <c r="F7" s="25" t="s">
        <v>101</v>
      </c>
      <c r="G7" s="26"/>
      <c r="H7" s="292" t="s">
        <v>407</v>
      </c>
    </row>
    <row r="8" spans="1:8" ht="13.8" customHeight="1" x14ac:dyDescent="0.25">
      <c r="A8" s="15"/>
      <c r="B8" s="296"/>
      <c r="C8" s="27" t="s">
        <v>82</v>
      </c>
      <c r="D8" s="28"/>
      <c r="E8" s="300"/>
      <c r="F8" s="27" t="s">
        <v>82</v>
      </c>
      <c r="G8" s="28"/>
      <c r="H8" s="293"/>
    </row>
    <row r="9" spans="1:8" ht="13.8" customHeight="1" x14ac:dyDescent="0.25">
      <c r="A9" s="15"/>
      <c r="B9" s="16"/>
      <c r="C9" s="16" t="s">
        <v>83</v>
      </c>
      <c r="D9" s="2"/>
      <c r="E9" s="2"/>
      <c r="F9" s="16" t="s">
        <v>102</v>
      </c>
      <c r="G9" s="2"/>
      <c r="H9" s="116" t="s">
        <v>107</v>
      </c>
    </row>
    <row r="10" spans="1:8" ht="14.4" customHeight="1" x14ac:dyDescent="0.25">
      <c r="A10" s="15"/>
      <c r="B10" s="33"/>
      <c r="C10" s="33" t="s">
        <v>84</v>
      </c>
      <c r="D10" s="34"/>
      <c r="E10" s="34"/>
      <c r="F10" s="33" t="s">
        <v>105</v>
      </c>
      <c r="G10" s="34"/>
      <c r="H10" s="117" t="s">
        <v>108</v>
      </c>
    </row>
    <row r="11" spans="1:8" ht="30" customHeight="1" x14ac:dyDescent="0.25">
      <c r="B11" s="16"/>
      <c r="C11" s="16" t="s">
        <v>85</v>
      </c>
      <c r="D11" s="2"/>
      <c r="E11" s="2"/>
      <c r="F11" s="16" t="s">
        <v>103</v>
      </c>
      <c r="G11" s="2"/>
      <c r="H11" s="116" t="s">
        <v>408</v>
      </c>
    </row>
    <row r="12" spans="1:8" ht="25.8" customHeight="1" x14ac:dyDescent="0.25">
      <c r="A12" s="15"/>
      <c r="B12" s="33"/>
      <c r="C12" s="35" t="s">
        <v>86</v>
      </c>
      <c r="D12" s="34"/>
      <c r="E12" s="34"/>
      <c r="F12" s="33" t="s">
        <v>104</v>
      </c>
      <c r="G12" s="34"/>
      <c r="H12" s="118" t="s">
        <v>109</v>
      </c>
    </row>
    <row r="13" spans="1:8" ht="25.8" customHeight="1" x14ac:dyDescent="0.25">
      <c r="A13" s="15"/>
      <c r="B13" s="16"/>
      <c r="C13" s="16" t="s">
        <v>87</v>
      </c>
      <c r="D13" s="2"/>
      <c r="E13" s="2"/>
      <c r="F13" s="16"/>
      <c r="G13" s="2"/>
      <c r="H13" s="119" t="s">
        <v>110</v>
      </c>
    </row>
    <row r="14" spans="1:8" ht="25.8" customHeight="1" x14ac:dyDescent="0.25">
      <c r="A14" s="15"/>
      <c r="B14" s="33"/>
      <c r="C14" s="33" t="s">
        <v>88</v>
      </c>
      <c r="D14" s="34"/>
      <c r="E14" s="34"/>
      <c r="F14" s="33"/>
      <c r="G14" s="34"/>
      <c r="H14" s="118" t="s">
        <v>407</v>
      </c>
    </row>
    <row r="15" spans="1:8" ht="21.6" customHeight="1" thickBot="1" x14ac:dyDescent="0.3">
      <c r="A15" s="15"/>
      <c r="B15" s="30"/>
      <c r="C15" s="30" t="s">
        <v>89</v>
      </c>
      <c r="D15" s="29"/>
      <c r="E15" s="29"/>
      <c r="F15" s="30"/>
      <c r="G15" s="29"/>
      <c r="H15" s="120" t="s">
        <v>111</v>
      </c>
    </row>
    <row r="16" spans="1:8" ht="10.050000000000001" customHeight="1" thickTop="1" x14ac:dyDescent="0.25">
      <c r="A16" s="15"/>
    </row>
    <row r="17" spans="1:8" x14ac:dyDescent="0.25">
      <c r="A17" s="15"/>
      <c r="B17" s="14" t="s">
        <v>112</v>
      </c>
    </row>
    <row r="18" spans="1:8" ht="7.95" customHeight="1" x14ac:dyDescent="0.25">
      <c r="A18" s="15"/>
    </row>
    <row r="19" spans="1:8" x14ac:dyDescent="0.25">
      <c r="A19" s="15"/>
      <c r="B19" s="290" t="s">
        <v>127</v>
      </c>
      <c r="C19" s="290"/>
      <c r="G19" s="290" t="s">
        <v>151</v>
      </c>
      <c r="H19" s="290"/>
    </row>
    <row r="20" spans="1:8" ht="13.8" customHeight="1" x14ac:dyDescent="0.25">
      <c r="B20" s="23">
        <v>0</v>
      </c>
      <c r="C20" s="289" t="s">
        <v>113</v>
      </c>
      <c r="D20" s="289"/>
      <c r="E20" s="289"/>
      <c r="F20" s="289"/>
      <c r="G20" s="23">
        <v>0</v>
      </c>
      <c r="H20" s="36" t="s">
        <v>119</v>
      </c>
    </row>
    <row r="21" spans="1:8" ht="13.8" customHeight="1" x14ac:dyDescent="0.25">
      <c r="A21" s="15"/>
      <c r="B21" s="23">
        <v>1</v>
      </c>
      <c r="C21" s="289" t="s">
        <v>114</v>
      </c>
      <c r="D21" s="289"/>
      <c r="E21" s="289"/>
      <c r="F21" s="289"/>
      <c r="G21" s="23">
        <v>1</v>
      </c>
      <c r="H21" s="36" t="s">
        <v>121</v>
      </c>
    </row>
    <row r="22" spans="1:8" x14ac:dyDescent="0.25">
      <c r="A22" s="15"/>
      <c r="B22" s="23">
        <v>2</v>
      </c>
      <c r="C22" s="289" t="s">
        <v>115</v>
      </c>
      <c r="D22" s="289"/>
      <c r="E22" s="289"/>
      <c r="F22" s="289"/>
      <c r="G22" s="23">
        <v>2</v>
      </c>
      <c r="H22" s="36" t="s">
        <v>120</v>
      </c>
    </row>
    <row r="23" spans="1:8" x14ac:dyDescent="0.25">
      <c r="A23" s="15"/>
      <c r="B23" s="23">
        <v>3</v>
      </c>
      <c r="C23" s="289" t="s">
        <v>117</v>
      </c>
      <c r="D23" s="289"/>
      <c r="E23" s="289"/>
      <c r="F23" s="289"/>
    </row>
    <row r="24" spans="1:8" x14ac:dyDescent="0.25">
      <c r="A24" s="15"/>
      <c r="B24" s="23">
        <v>4</v>
      </c>
      <c r="C24" s="289" t="s">
        <v>116</v>
      </c>
      <c r="D24" s="289"/>
      <c r="E24" s="289"/>
      <c r="F24" s="289"/>
      <c r="G24" s="291" t="s">
        <v>143</v>
      </c>
      <c r="H24" s="291"/>
    </row>
    <row r="25" spans="1:8" x14ac:dyDescent="0.25">
      <c r="A25" s="15"/>
      <c r="B25" s="23">
        <v>5</v>
      </c>
      <c r="C25" s="289" t="s">
        <v>118</v>
      </c>
      <c r="D25" s="289"/>
      <c r="E25" s="289"/>
      <c r="F25" s="289"/>
      <c r="G25" s="23">
        <v>0</v>
      </c>
      <c r="H25" s="36" t="s">
        <v>147</v>
      </c>
    </row>
    <row r="26" spans="1:8" ht="13.8" customHeight="1" x14ac:dyDescent="0.25">
      <c r="A26" s="15"/>
      <c r="B26" s="24"/>
      <c r="G26" s="23">
        <v>1</v>
      </c>
      <c r="H26" s="36" t="s">
        <v>148</v>
      </c>
    </row>
    <row r="27" spans="1:8" ht="13.8" customHeight="1" x14ac:dyDescent="0.25">
      <c r="A27" s="15"/>
      <c r="B27" s="290" t="s">
        <v>128</v>
      </c>
      <c r="C27" s="290"/>
      <c r="D27" s="290"/>
      <c r="E27" s="290"/>
      <c r="F27" s="290"/>
      <c r="G27" s="38">
        <v>2</v>
      </c>
      <c r="H27" s="39" t="s">
        <v>149</v>
      </c>
    </row>
    <row r="28" spans="1:8" x14ac:dyDescent="0.25">
      <c r="A28" s="15"/>
      <c r="B28" s="23">
        <v>0</v>
      </c>
      <c r="C28" s="289" t="s">
        <v>123</v>
      </c>
      <c r="D28" s="289"/>
      <c r="E28" s="289"/>
      <c r="F28" s="289"/>
      <c r="G28" s="23">
        <v>0</v>
      </c>
      <c r="H28" s="36" t="s">
        <v>147</v>
      </c>
    </row>
    <row r="29" spans="1:8" x14ac:dyDescent="0.25">
      <c r="B29" s="23">
        <v>1</v>
      </c>
      <c r="C29" s="289" t="s">
        <v>124</v>
      </c>
      <c r="D29" s="289"/>
      <c r="E29" s="289"/>
      <c r="F29" s="289"/>
      <c r="G29" s="23">
        <v>1</v>
      </c>
      <c r="H29" s="36" t="s">
        <v>148</v>
      </c>
    </row>
    <row r="30" spans="1:8" ht="27" customHeight="1" x14ac:dyDescent="0.25">
      <c r="A30" s="15"/>
      <c r="B30" s="23" t="s">
        <v>122</v>
      </c>
      <c r="C30" s="289" t="s">
        <v>145</v>
      </c>
      <c r="D30" s="289"/>
      <c r="E30" s="289"/>
      <c r="F30" s="289"/>
      <c r="G30" s="38">
        <v>2</v>
      </c>
      <c r="H30" s="39" t="s">
        <v>149</v>
      </c>
    </row>
    <row r="31" spans="1:8" x14ac:dyDescent="0.25">
      <c r="A31" s="15"/>
      <c r="B31" s="23">
        <v>2</v>
      </c>
      <c r="C31" s="289" t="s">
        <v>144</v>
      </c>
      <c r="D31" s="289"/>
      <c r="E31" s="289"/>
      <c r="F31" s="289"/>
      <c r="H31" s="36"/>
    </row>
    <row r="32" spans="1:8" x14ac:dyDescent="0.25">
      <c r="A32" s="15"/>
      <c r="B32" s="23">
        <v>3</v>
      </c>
      <c r="C32" s="289" t="s">
        <v>125</v>
      </c>
      <c r="D32" s="289"/>
      <c r="E32" s="289"/>
      <c r="F32" s="289"/>
      <c r="G32" s="290" t="s">
        <v>129</v>
      </c>
      <c r="H32" s="290"/>
    </row>
    <row r="33" spans="1:8" ht="14.4" x14ac:dyDescent="0.3">
      <c r="A33" s="15"/>
      <c r="B33" s="23">
        <v>4</v>
      </c>
      <c r="C33" s="289" t="s">
        <v>126</v>
      </c>
      <c r="D33" s="289"/>
      <c r="E33" s="289"/>
      <c r="F33" s="289"/>
      <c r="G33" s="37" t="s">
        <v>141</v>
      </c>
      <c r="H33" s="37"/>
    </row>
    <row r="34" spans="1:8" ht="14.4" customHeight="1" x14ac:dyDescent="0.3">
      <c r="A34" s="15"/>
      <c r="B34" s="24"/>
      <c r="G34" s="37" t="s">
        <v>142</v>
      </c>
      <c r="H34" s="37"/>
    </row>
    <row r="35" spans="1:8" ht="13.8" customHeight="1" x14ac:dyDescent="0.25">
      <c r="A35" s="15"/>
      <c r="B35" s="290" t="s">
        <v>131</v>
      </c>
      <c r="C35" s="290"/>
      <c r="D35" s="290"/>
      <c r="E35" s="290"/>
      <c r="F35" s="290"/>
    </row>
    <row r="36" spans="1:8" ht="13.8" customHeight="1" x14ac:dyDescent="0.25">
      <c r="A36" s="15"/>
      <c r="B36" s="23">
        <v>0</v>
      </c>
      <c r="C36" s="289" t="s">
        <v>132</v>
      </c>
      <c r="D36" s="289"/>
      <c r="E36" s="289"/>
      <c r="F36" s="289"/>
      <c r="G36" s="290" t="s">
        <v>130</v>
      </c>
      <c r="H36" s="290"/>
    </row>
    <row r="37" spans="1:8" ht="13.8" customHeight="1" x14ac:dyDescent="0.25">
      <c r="B37" s="23" t="s">
        <v>133</v>
      </c>
      <c r="C37" s="289" t="s">
        <v>146</v>
      </c>
      <c r="D37" s="289"/>
      <c r="E37" s="289"/>
      <c r="F37" s="289"/>
      <c r="G37" s="23">
        <v>0</v>
      </c>
      <c r="H37" s="36" t="s">
        <v>138</v>
      </c>
    </row>
    <row r="38" spans="1:8" ht="13.8" customHeight="1" x14ac:dyDescent="0.25">
      <c r="A38" s="15"/>
      <c r="B38" s="23">
        <v>1</v>
      </c>
      <c r="C38" s="289" t="s">
        <v>135</v>
      </c>
      <c r="D38" s="289"/>
      <c r="E38" s="289"/>
      <c r="F38" s="289"/>
      <c r="G38" s="23">
        <v>1</v>
      </c>
      <c r="H38" s="36" t="s">
        <v>139</v>
      </c>
    </row>
    <row r="39" spans="1:8" ht="24.6" customHeight="1" x14ac:dyDescent="0.25">
      <c r="A39" s="15"/>
      <c r="B39" s="23" t="s">
        <v>134</v>
      </c>
      <c r="C39" s="289" t="s">
        <v>136</v>
      </c>
      <c r="D39" s="289"/>
      <c r="E39" s="289"/>
      <c r="F39" s="289"/>
      <c r="G39" s="23">
        <v>2</v>
      </c>
      <c r="H39" s="36" t="s">
        <v>140</v>
      </c>
    </row>
    <row r="40" spans="1:8" x14ac:dyDescent="0.25">
      <c r="A40" s="15"/>
      <c r="B40" s="23">
        <v>2</v>
      </c>
      <c r="C40" s="289" t="s">
        <v>137</v>
      </c>
      <c r="D40" s="289"/>
      <c r="E40" s="289"/>
      <c r="F40" s="289"/>
      <c r="G40" s="23">
        <v>3</v>
      </c>
      <c r="H40" s="36" t="s">
        <v>150</v>
      </c>
    </row>
    <row r="41" spans="1:8" ht="15" customHeight="1" x14ac:dyDescent="0.25">
      <c r="G41" s="23">
        <v>4</v>
      </c>
      <c r="H41" s="36" t="s">
        <v>406</v>
      </c>
    </row>
  </sheetData>
  <sheetProtection algorithmName="SHA-512" hashValue="wltjfaRGuTcdnNfrlC5MPorGm/UNYcQX43ijmXwmMqtM1DKjJPP+7GYg4SpvjF90ND2SZlIpcQWvcbZFYwMI1g==" saltValue="VUTXvdfj8UPjOpP7h8SmhA==" spinCount="100000" sheet="1" objects="1" scenarios="1" selectLockedCells="1" selectUnlockedCells="1"/>
  <mergeCells count="31">
    <mergeCell ref="H7:H8"/>
    <mergeCell ref="H5:H6"/>
    <mergeCell ref="B7:B8"/>
    <mergeCell ref="B1:H1"/>
    <mergeCell ref="B5:B6"/>
    <mergeCell ref="E5:E6"/>
    <mergeCell ref="E7:E8"/>
    <mergeCell ref="C23:F23"/>
    <mergeCell ref="C24:F24"/>
    <mergeCell ref="C25:F25"/>
    <mergeCell ref="G19:H19"/>
    <mergeCell ref="B27:F27"/>
    <mergeCell ref="G24:H24"/>
    <mergeCell ref="B19:C19"/>
    <mergeCell ref="C20:F20"/>
    <mergeCell ref="C21:F21"/>
    <mergeCell ref="C22:F22"/>
    <mergeCell ref="C33:F33"/>
    <mergeCell ref="G36:H36"/>
    <mergeCell ref="G32:H32"/>
    <mergeCell ref="B35:F35"/>
    <mergeCell ref="C28:F28"/>
    <mergeCell ref="C29:F29"/>
    <mergeCell ref="C30:F30"/>
    <mergeCell ref="C31:F31"/>
    <mergeCell ref="C32:F32"/>
    <mergeCell ref="C37:F37"/>
    <mergeCell ref="C38:F38"/>
    <mergeCell ref="C39:F39"/>
    <mergeCell ref="C40:F40"/>
    <mergeCell ref="C36:F3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1:L96"/>
  <sheetViews>
    <sheetView zoomScaleNormal="100" zoomScalePageLayoutView="70" workbookViewId="0">
      <selection activeCell="E89" sqref="E89"/>
    </sheetView>
  </sheetViews>
  <sheetFormatPr baseColWidth="10" defaultRowHeight="13.8" x14ac:dyDescent="0.25"/>
  <cols>
    <col min="1" max="1" width="7" style="1" customWidth="1"/>
    <col min="2" max="2" width="3.109375" style="1" bestFit="1" customWidth="1"/>
    <col min="3" max="3" width="3" style="1" bestFit="1" customWidth="1"/>
    <col min="4" max="4" width="11.5546875" style="1" customWidth="1"/>
    <col min="5" max="5" width="11.5546875" style="1"/>
    <col min="6" max="6" width="11.5546875" style="1" customWidth="1"/>
    <col min="7" max="7" width="16.77734375" style="1" customWidth="1"/>
    <col min="8" max="9" width="6.33203125" style="1" customWidth="1"/>
    <col min="10" max="11" width="6.33203125" style="22" customWidth="1"/>
    <col min="12" max="12" width="11.5546875" style="22" customWidth="1"/>
    <col min="13" max="16384" width="11.5546875" style="1"/>
  </cols>
  <sheetData>
    <row r="1" spans="2:12" ht="15" customHeight="1" thickBot="1" x14ac:dyDescent="0.3">
      <c r="B1" s="260" t="s">
        <v>410</v>
      </c>
      <c r="C1" s="261"/>
      <c r="D1" s="261"/>
      <c r="E1" s="261"/>
      <c r="F1" s="261"/>
      <c r="G1" s="261"/>
      <c r="H1" s="261"/>
      <c r="I1" s="261"/>
      <c r="J1" s="261"/>
      <c r="K1" s="262"/>
      <c r="L1" s="17"/>
    </row>
    <row r="2" spans="2:12" ht="7.95" customHeight="1" thickBot="1" x14ac:dyDescent="0.3">
      <c r="B2" s="10"/>
      <c r="C2" s="11"/>
      <c r="D2" s="11"/>
      <c r="E2" s="11"/>
      <c r="F2" s="12"/>
      <c r="G2" s="11"/>
      <c r="H2" s="11"/>
      <c r="J2" s="18"/>
      <c r="K2" s="18"/>
      <c r="L2" s="18"/>
    </row>
    <row r="3" spans="2:12" ht="15" thickBot="1" x14ac:dyDescent="0.35">
      <c r="B3" s="40"/>
      <c r="C3" s="40"/>
      <c r="D3" s="40"/>
      <c r="E3" s="40"/>
      <c r="F3" s="40"/>
      <c r="G3" s="40"/>
      <c r="H3" s="304" t="s">
        <v>49</v>
      </c>
      <c r="I3" s="305"/>
      <c r="J3" s="304" t="s">
        <v>50</v>
      </c>
      <c r="K3" s="306"/>
    </row>
    <row r="4" spans="2:12" x14ac:dyDescent="0.25">
      <c r="B4" s="307" t="s">
        <v>152</v>
      </c>
      <c r="C4" s="41">
        <v>1</v>
      </c>
      <c r="D4" s="310" t="s">
        <v>156</v>
      </c>
      <c r="E4" s="311"/>
      <c r="F4" s="311"/>
      <c r="G4" s="312"/>
      <c r="H4" s="313"/>
      <c r="I4" s="314"/>
      <c r="J4" s="313"/>
      <c r="K4" s="314"/>
    </row>
    <row r="5" spans="2:12" x14ac:dyDescent="0.25">
      <c r="B5" s="308"/>
      <c r="C5" s="42">
        <v>2</v>
      </c>
      <c r="D5" s="315" t="s">
        <v>157</v>
      </c>
      <c r="E5" s="316"/>
      <c r="F5" s="316"/>
      <c r="G5" s="317"/>
      <c r="H5" s="318"/>
      <c r="I5" s="319"/>
      <c r="J5" s="318"/>
      <c r="K5" s="319"/>
    </row>
    <row r="6" spans="2:12" x14ac:dyDescent="0.25">
      <c r="B6" s="308"/>
      <c r="C6" s="42">
        <v>3</v>
      </c>
      <c r="D6" s="315" t="s">
        <v>158</v>
      </c>
      <c r="E6" s="316"/>
      <c r="F6" s="316"/>
      <c r="G6" s="317"/>
      <c r="H6" s="62"/>
      <c r="I6" s="63"/>
      <c r="J6" s="62"/>
      <c r="K6" s="63"/>
    </row>
    <row r="7" spans="2:12" ht="14.4" thickBot="1" x14ac:dyDescent="0.3">
      <c r="B7" s="308"/>
      <c r="C7" s="43">
        <v>4</v>
      </c>
      <c r="D7" s="320" t="s">
        <v>159</v>
      </c>
      <c r="E7" s="321"/>
      <c r="F7" s="321"/>
      <c r="G7" s="322"/>
      <c r="H7" s="64"/>
      <c r="I7" s="65"/>
      <c r="J7" s="64"/>
      <c r="K7" s="65"/>
    </row>
    <row r="8" spans="2:12" ht="14.4" thickBot="1" x14ac:dyDescent="0.3">
      <c r="B8" s="308"/>
      <c r="C8" s="44">
        <v>5</v>
      </c>
      <c r="D8" s="323" t="s">
        <v>160</v>
      </c>
      <c r="E8" s="324"/>
      <c r="F8" s="324"/>
      <c r="G8" s="325"/>
      <c r="H8" s="326"/>
      <c r="I8" s="327"/>
      <c r="J8" s="326"/>
      <c r="K8" s="327"/>
    </row>
    <row r="9" spans="2:12" x14ac:dyDescent="0.25">
      <c r="B9" s="308"/>
      <c r="C9" s="45">
        <v>6</v>
      </c>
      <c r="D9" s="301" t="s">
        <v>161</v>
      </c>
      <c r="E9" s="302"/>
      <c r="F9" s="302"/>
      <c r="G9" s="303"/>
      <c r="H9" s="66"/>
      <c r="I9" s="67"/>
      <c r="J9" s="66"/>
      <c r="K9" s="67"/>
    </row>
    <row r="10" spans="2:12" x14ac:dyDescent="0.25">
      <c r="B10" s="308"/>
      <c r="C10" s="46">
        <v>7</v>
      </c>
      <c r="D10" s="328" t="s">
        <v>162</v>
      </c>
      <c r="E10" s="329"/>
      <c r="F10" s="329"/>
      <c r="G10" s="330"/>
      <c r="H10" s="68"/>
      <c r="I10" s="69"/>
      <c r="J10" s="68"/>
      <c r="K10" s="69"/>
    </row>
    <row r="11" spans="2:12" ht="14.4" thickBot="1" x14ac:dyDescent="0.3">
      <c r="B11" s="308"/>
      <c r="C11" s="47">
        <v>8</v>
      </c>
      <c r="D11" s="331" t="s">
        <v>163</v>
      </c>
      <c r="E11" s="332"/>
      <c r="F11" s="332"/>
      <c r="G11" s="333"/>
      <c r="H11" s="70"/>
      <c r="I11" s="71"/>
      <c r="J11" s="70"/>
      <c r="K11" s="71"/>
    </row>
    <row r="12" spans="2:12" ht="14.4" thickBot="1" x14ac:dyDescent="0.3">
      <c r="B12" s="309"/>
      <c r="C12" s="48">
        <v>9</v>
      </c>
      <c r="D12" s="334" t="s">
        <v>164</v>
      </c>
      <c r="E12" s="335"/>
      <c r="F12" s="335"/>
      <c r="G12" s="336"/>
      <c r="H12" s="72"/>
      <c r="I12" s="73"/>
      <c r="J12" s="72"/>
      <c r="K12" s="73"/>
    </row>
    <row r="13" spans="2:12" ht="7.95" customHeight="1" thickBot="1" x14ac:dyDescent="0.35">
      <c r="B13" s="40"/>
      <c r="C13" s="40"/>
      <c r="D13" s="49"/>
      <c r="E13" s="49"/>
      <c r="F13" s="49"/>
      <c r="G13" s="49"/>
      <c r="H13" s="40"/>
      <c r="I13" s="40"/>
      <c r="J13" s="40"/>
      <c r="K13" s="40"/>
    </row>
    <row r="14" spans="2:12" x14ac:dyDescent="0.25">
      <c r="B14" s="307" t="s">
        <v>153</v>
      </c>
      <c r="C14" s="41">
        <v>10</v>
      </c>
      <c r="D14" s="337" t="s">
        <v>165</v>
      </c>
      <c r="E14" s="338"/>
      <c r="F14" s="338"/>
      <c r="G14" s="339"/>
      <c r="H14" s="313"/>
      <c r="I14" s="314"/>
      <c r="J14" s="313"/>
      <c r="K14" s="314"/>
    </row>
    <row r="15" spans="2:12" x14ac:dyDescent="0.25">
      <c r="B15" s="308"/>
      <c r="C15" s="42">
        <v>11</v>
      </c>
      <c r="D15" s="357" t="s">
        <v>166</v>
      </c>
      <c r="E15" s="358"/>
      <c r="F15" s="358"/>
      <c r="G15" s="359"/>
      <c r="H15" s="318"/>
      <c r="I15" s="319"/>
      <c r="J15" s="318"/>
      <c r="K15" s="319"/>
    </row>
    <row r="16" spans="2:12" x14ac:dyDescent="0.25">
      <c r="B16" s="308"/>
      <c r="C16" s="42">
        <v>12</v>
      </c>
      <c r="D16" s="357" t="s">
        <v>167</v>
      </c>
      <c r="E16" s="358"/>
      <c r="F16" s="358"/>
      <c r="G16" s="359"/>
      <c r="H16" s="318"/>
      <c r="I16" s="319"/>
      <c r="J16" s="318"/>
      <c r="K16" s="319"/>
    </row>
    <row r="17" spans="2:11" x14ac:dyDescent="0.25">
      <c r="B17" s="308"/>
      <c r="C17" s="42">
        <v>13</v>
      </c>
      <c r="D17" s="340" t="s">
        <v>168</v>
      </c>
      <c r="E17" s="341"/>
      <c r="F17" s="341"/>
      <c r="G17" s="342"/>
      <c r="H17" s="318"/>
      <c r="I17" s="319"/>
      <c r="J17" s="318"/>
      <c r="K17" s="319"/>
    </row>
    <row r="18" spans="2:11" ht="14.4" thickBot="1" x14ac:dyDescent="0.3">
      <c r="B18" s="308"/>
      <c r="C18" s="43">
        <v>14</v>
      </c>
      <c r="D18" s="352" t="s">
        <v>169</v>
      </c>
      <c r="E18" s="353"/>
      <c r="F18" s="353"/>
      <c r="G18" s="354"/>
      <c r="H18" s="355"/>
      <c r="I18" s="356"/>
      <c r="J18" s="355"/>
      <c r="K18" s="356"/>
    </row>
    <row r="19" spans="2:11" x14ac:dyDescent="0.25">
      <c r="B19" s="308"/>
      <c r="C19" s="45">
        <v>15</v>
      </c>
      <c r="D19" s="301" t="s">
        <v>161</v>
      </c>
      <c r="E19" s="302"/>
      <c r="F19" s="302"/>
      <c r="G19" s="303"/>
      <c r="H19" s="66"/>
      <c r="I19" s="67"/>
      <c r="J19" s="66"/>
      <c r="K19" s="67"/>
    </row>
    <row r="20" spans="2:11" ht="14.4" thickBot="1" x14ac:dyDescent="0.3">
      <c r="B20" s="308"/>
      <c r="C20" s="50">
        <v>16</v>
      </c>
      <c r="D20" s="349" t="s">
        <v>162</v>
      </c>
      <c r="E20" s="350"/>
      <c r="F20" s="350"/>
      <c r="G20" s="351"/>
      <c r="H20" s="70"/>
      <c r="I20" s="71"/>
      <c r="J20" s="70"/>
      <c r="K20" s="71"/>
    </row>
    <row r="21" spans="2:11" x14ac:dyDescent="0.25">
      <c r="B21" s="308"/>
      <c r="C21" s="51">
        <v>17</v>
      </c>
      <c r="D21" s="343" t="s">
        <v>170</v>
      </c>
      <c r="E21" s="344"/>
      <c r="F21" s="344"/>
      <c r="G21" s="345"/>
      <c r="H21" s="66"/>
      <c r="I21" s="67"/>
      <c r="J21" s="66"/>
      <c r="K21" s="67"/>
    </row>
    <row r="22" spans="2:11" ht="14.4" thickBot="1" x14ac:dyDescent="0.3">
      <c r="B22" s="309"/>
      <c r="C22" s="52">
        <v>18</v>
      </c>
      <c r="D22" s="346" t="s">
        <v>171</v>
      </c>
      <c r="E22" s="347"/>
      <c r="F22" s="347"/>
      <c r="G22" s="348"/>
      <c r="H22" s="70"/>
      <c r="I22" s="71"/>
      <c r="J22" s="70"/>
      <c r="K22" s="71"/>
    </row>
    <row r="23" spans="2:11" ht="7.95" customHeight="1" thickBot="1" x14ac:dyDescent="0.35">
      <c r="B23" s="40"/>
      <c r="C23" s="40"/>
      <c r="D23" s="49"/>
      <c r="E23" s="49"/>
      <c r="F23" s="49"/>
      <c r="G23" s="49"/>
      <c r="H23" s="360"/>
      <c r="I23" s="360"/>
      <c r="J23" s="360"/>
      <c r="K23" s="360"/>
    </row>
    <row r="24" spans="2:11" x14ac:dyDescent="0.25">
      <c r="B24" s="307" t="s">
        <v>154</v>
      </c>
      <c r="C24" s="41">
        <v>19</v>
      </c>
      <c r="D24" s="310" t="s">
        <v>172</v>
      </c>
      <c r="E24" s="311"/>
      <c r="F24" s="311"/>
      <c r="G24" s="312"/>
      <c r="H24" s="313"/>
      <c r="I24" s="314"/>
      <c r="J24" s="313"/>
      <c r="K24" s="314"/>
    </row>
    <row r="25" spans="2:11" ht="14.4" thickBot="1" x14ac:dyDescent="0.3">
      <c r="B25" s="308"/>
      <c r="C25" s="53">
        <v>20</v>
      </c>
      <c r="D25" s="363" t="s">
        <v>173</v>
      </c>
      <c r="E25" s="364"/>
      <c r="F25" s="364"/>
      <c r="G25" s="365"/>
      <c r="H25" s="355"/>
      <c r="I25" s="356"/>
      <c r="J25" s="355"/>
      <c r="K25" s="356"/>
    </row>
    <row r="26" spans="2:11" ht="14.4" thickBot="1" x14ac:dyDescent="0.3">
      <c r="B26" s="361"/>
      <c r="C26" s="54">
        <v>21</v>
      </c>
      <c r="D26" s="366" t="s">
        <v>174</v>
      </c>
      <c r="E26" s="367"/>
      <c r="F26" s="367"/>
      <c r="G26" s="368"/>
      <c r="H26" s="326"/>
      <c r="I26" s="327"/>
      <c r="J26" s="326"/>
      <c r="K26" s="327"/>
    </row>
    <row r="27" spans="2:11" x14ac:dyDescent="0.25">
      <c r="B27" s="361"/>
      <c r="C27" s="45">
        <v>22</v>
      </c>
      <c r="D27" s="301" t="s">
        <v>175</v>
      </c>
      <c r="E27" s="302"/>
      <c r="F27" s="302"/>
      <c r="G27" s="303"/>
      <c r="H27" s="74"/>
      <c r="I27" s="67"/>
      <c r="J27" s="66"/>
      <c r="K27" s="67"/>
    </row>
    <row r="28" spans="2:11" x14ac:dyDescent="0.25">
      <c r="B28" s="361"/>
      <c r="C28" s="46">
        <v>23</v>
      </c>
      <c r="D28" s="328" t="s">
        <v>176</v>
      </c>
      <c r="E28" s="329"/>
      <c r="F28" s="329"/>
      <c r="G28" s="330"/>
      <c r="H28" s="75"/>
      <c r="I28" s="69"/>
      <c r="J28" s="68"/>
      <c r="K28" s="69"/>
    </row>
    <row r="29" spans="2:11" x14ac:dyDescent="0.25">
      <c r="B29" s="361"/>
      <c r="C29" s="46">
        <v>24</v>
      </c>
      <c r="D29" s="328" t="s">
        <v>177</v>
      </c>
      <c r="E29" s="329"/>
      <c r="F29" s="329"/>
      <c r="G29" s="330"/>
      <c r="H29" s="75"/>
      <c r="I29" s="69"/>
      <c r="J29" s="68"/>
      <c r="K29" s="69"/>
    </row>
    <row r="30" spans="2:11" ht="14.4" thickBot="1" x14ac:dyDescent="0.3">
      <c r="B30" s="361"/>
      <c r="C30" s="50">
        <v>25</v>
      </c>
      <c r="D30" s="402" t="s">
        <v>178</v>
      </c>
      <c r="E30" s="403"/>
      <c r="F30" s="403"/>
      <c r="G30" s="404"/>
      <c r="H30" s="76"/>
      <c r="I30" s="77"/>
      <c r="J30" s="78"/>
      <c r="K30" s="77"/>
    </row>
    <row r="31" spans="2:11" x14ac:dyDescent="0.25">
      <c r="B31" s="361"/>
      <c r="C31" s="55">
        <v>26</v>
      </c>
      <c r="D31" s="343" t="s">
        <v>143</v>
      </c>
      <c r="E31" s="344"/>
      <c r="F31" s="344"/>
      <c r="G31" s="395"/>
      <c r="H31" s="313"/>
      <c r="I31" s="314"/>
      <c r="J31" s="313"/>
      <c r="K31" s="314"/>
    </row>
    <row r="32" spans="2:11" x14ac:dyDescent="0.25">
      <c r="B32" s="361"/>
      <c r="C32" s="56">
        <v>27</v>
      </c>
      <c r="D32" s="396" t="s">
        <v>179</v>
      </c>
      <c r="E32" s="397"/>
      <c r="F32" s="397"/>
      <c r="G32" s="398"/>
      <c r="H32" s="68"/>
      <c r="I32" s="69"/>
      <c r="J32" s="68"/>
      <c r="K32" s="69"/>
    </row>
    <row r="33" spans="2:11" ht="14.4" thickBot="1" x14ac:dyDescent="0.3">
      <c r="B33" s="362"/>
      <c r="C33" s="57">
        <v>28</v>
      </c>
      <c r="D33" s="346" t="s">
        <v>180</v>
      </c>
      <c r="E33" s="347"/>
      <c r="F33" s="347"/>
      <c r="G33" s="399"/>
      <c r="H33" s="400">
        <f>H24-I32</f>
        <v>0</v>
      </c>
      <c r="I33" s="401"/>
      <c r="J33" s="400">
        <f>J24-K32</f>
        <v>0</v>
      </c>
      <c r="K33" s="401"/>
    </row>
    <row r="34" spans="2:11" ht="7.95" customHeight="1" thickBot="1" x14ac:dyDescent="0.35">
      <c r="B34" s="58"/>
      <c r="C34" s="40"/>
      <c r="D34" s="49"/>
      <c r="E34" s="49"/>
      <c r="F34" s="49"/>
      <c r="G34" s="49"/>
      <c r="H34" s="40"/>
      <c r="I34" s="40"/>
      <c r="J34" s="40"/>
      <c r="K34" s="40"/>
    </row>
    <row r="35" spans="2:11" x14ac:dyDescent="0.25">
      <c r="B35" s="383" t="s">
        <v>155</v>
      </c>
      <c r="C35" s="59">
        <v>29</v>
      </c>
      <c r="D35" s="384" t="s">
        <v>181</v>
      </c>
      <c r="E35" s="385"/>
      <c r="F35" s="385"/>
      <c r="G35" s="386"/>
      <c r="H35" s="313"/>
      <c r="I35" s="314"/>
      <c r="J35" s="313"/>
      <c r="K35" s="314"/>
    </row>
    <row r="36" spans="2:11" x14ac:dyDescent="0.25">
      <c r="B36" s="361"/>
      <c r="C36" s="60">
        <v>30</v>
      </c>
      <c r="D36" s="387" t="s">
        <v>182</v>
      </c>
      <c r="E36" s="388"/>
      <c r="F36" s="388"/>
      <c r="G36" s="389"/>
      <c r="H36" s="62"/>
      <c r="I36" s="63"/>
      <c r="J36" s="62"/>
      <c r="K36" s="63"/>
    </row>
    <row r="37" spans="2:11" ht="14.4" thickBot="1" x14ac:dyDescent="0.3">
      <c r="B37" s="361"/>
      <c r="C37" s="61">
        <v>31</v>
      </c>
      <c r="D37" s="390" t="s">
        <v>183</v>
      </c>
      <c r="E37" s="391"/>
      <c r="F37" s="391"/>
      <c r="G37" s="392"/>
      <c r="H37" s="79"/>
      <c r="I37" s="80"/>
      <c r="J37" s="79"/>
      <c r="K37" s="80"/>
    </row>
    <row r="38" spans="2:11" ht="14.4" x14ac:dyDescent="0.3">
      <c r="B38" s="361"/>
      <c r="C38" s="51">
        <v>32</v>
      </c>
      <c r="D38" s="343" t="s">
        <v>184</v>
      </c>
      <c r="E38" s="344"/>
      <c r="F38" s="344"/>
      <c r="G38" s="345"/>
      <c r="H38" s="393"/>
      <c r="I38" s="394"/>
      <c r="J38" s="393"/>
      <c r="K38" s="394"/>
    </row>
    <row r="39" spans="2:11" ht="15" thickBot="1" x14ac:dyDescent="0.35">
      <c r="B39" s="362"/>
      <c r="C39" s="52">
        <v>33</v>
      </c>
      <c r="D39" s="346" t="s">
        <v>185</v>
      </c>
      <c r="E39" s="347"/>
      <c r="F39" s="347"/>
      <c r="G39" s="348"/>
      <c r="H39" s="369"/>
      <c r="I39" s="370"/>
      <c r="J39" s="369"/>
      <c r="K39" s="370"/>
    </row>
    <row r="40" spans="2:11" ht="7.95" customHeight="1" thickBot="1" x14ac:dyDescent="0.3"/>
    <row r="41" spans="2:11" ht="15" thickBot="1" x14ac:dyDescent="0.35">
      <c r="B41" s="380" t="s">
        <v>8</v>
      </c>
      <c r="C41" s="381"/>
      <c r="D41" s="381"/>
      <c r="E41" s="381"/>
      <c r="F41" s="381"/>
      <c r="G41" s="381"/>
      <c r="H41" s="381"/>
      <c r="I41" s="381"/>
      <c r="J41" s="381"/>
      <c r="K41" s="382"/>
    </row>
    <row r="42" spans="2:11" ht="14.4" customHeight="1" x14ac:dyDescent="0.25">
      <c r="B42" s="371"/>
      <c r="C42" s="372"/>
      <c r="D42" s="372"/>
      <c r="E42" s="372"/>
      <c r="F42" s="372"/>
      <c r="G42" s="372"/>
      <c r="H42" s="372"/>
      <c r="I42" s="372"/>
      <c r="J42" s="372"/>
      <c r="K42" s="373"/>
    </row>
    <row r="43" spans="2:11" ht="14.4" customHeight="1" x14ac:dyDescent="0.25">
      <c r="B43" s="374"/>
      <c r="C43" s="375"/>
      <c r="D43" s="375"/>
      <c r="E43" s="375"/>
      <c r="F43" s="375"/>
      <c r="G43" s="375"/>
      <c r="H43" s="375"/>
      <c r="I43" s="375"/>
      <c r="J43" s="375"/>
      <c r="K43" s="376"/>
    </row>
    <row r="44" spans="2:11" ht="14.4" customHeight="1" x14ac:dyDescent="0.25">
      <c r="B44" s="374"/>
      <c r="C44" s="375"/>
      <c r="D44" s="375"/>
      <c r="E44" s="375"/>
      <c r="F44" s="375"/>
      <c r="G44" s="375"/>
      <c r="H44" s="375"/>
      <c r="I44" s="375"/>
      <c r="J44" s="375"/>
      <c r="K44" s="376"/>
    </row>
    <row r="45" spans="2:11" ht="14.4" customHeight="1" x14ac:dyDescent="0.25">
      <c r="B45" s="374"/>
      <c r="C45" s="375"/>
      <c r="D45" s="375"/>
      <c r="E45" s="375"/>
      <c r="F45" s="375"/>
      <c r="G45" s="375"/>
      <c r="H45" s="375"/>
      <c r="I45" s="375"/>
      <c r="J45" s="375"/>
      <c r="K45" s="376"/>
    </row>
    <row r="46" spans="2:11" ht="14.4" customHeight="1" x14ac:dyDescent="0.25">
      <c r="B46" s="374"/>
      <c r="C46" s="375"/>
      <c r="D46" s="375"/>
      <c r="E46" s="375"/>
      <c r="F46" s="375"/>
      <c r="G46" s="375"/>
      <c r="H46" s="375"/>
      <c r="I46" s="375"/>
      <c r="J46" s="375"/>
      <c r="K46" s="376"/>
    </row>
    <row r="47" spans="2:11" ht="14.4" customHeight="1" x14ac:dyDescent="0.25">
      <c r="B47" s="374"/>
      <c r="C47" s="375"/>
      <c r="D47" s="375"/>
      <c r="E47" s="375"/>
      <c r="F47" s="375"/>
      <c r="G47" s="375"/>
      <c r="H47" s="375"/>
      <c r="I47" s="375"/>
      <c r="J47" s="375"/>
      <c r="K47" s="376"/>
    </row>
    <row r="48" spans="2:11" ht="14.4" customHeight="1" x14ac:dyDescent="0.25">
      <c r="B48" s="374"/>
      <c r="C48" s="375"/>
      <c r="D48" s="375"/>
      <c r="E48" s="375"/>
      <c r="F48" s="375"/>
      <c r="G48" s="375"/>
      <c r="H48" s="375"/>
      <c r="I48" s="375"/>
      <c r="J48" s="375"/>
      <c r="K48" s="376"/>
    </row>
    <row r="49" spans="2:11" ht="14.4" customHeight="1" x14ac:dyDescent="0.25">
      <c r="B49" s="374"/>
      <c r="C49" s="375"/>
      <c r="D49" s="375"/>
      <c r="E49" s="375"/>
      <c r="F49" s="375"/>
      <c r="G49" s="375"/>
      <c r="H49" s="375"/>
      <c r="I49" s="375"/>
      <c r="J49" s="375"/>
      <c r="K49" s="376"/>
    </row>
    <row r="50" spans="2:11" ht="14.4" customHeight="1" thickBot="1" x14ac:dyDescent="0.3">
      <c r="B50" s="377"/>
      <c r="C50" s="378"/>
      <c r="D50" s="378"/>
      <c r="E50" s="378"/>
      <c r="F50" s="378"/>
      <c r="G50" s="378"/>
      <c r="H50" s="378"/>
      <c r="I50" s="378"/>
      <c r="J50" s="378"/>
      <c r="K50" s="379"/>
    </row>
    <row r="51" spans="2:11" ht="14.4" thickBot="1" x14ac:dyDescent="0.3">
      <c r="B51" s="260" t="s">
        <v>411</v>
      </c>
      <c r="C51" s="261"/>
      <c r="D51" s="261"/>
      <c r="E51" s="261"/>
      <c r="F51" s="261"/>
      <c r="G51" s="261"/>
      <c r="H51" s="261"/>
      <c r="I51" s="261"/>
      <c r="J51" s="261"/>
      <c r="K51" s="262"/>
    </row>
    <row r="52" spans="2:11" ht="7.95" customHeight="1" thickBot="1" x14ac:dyDescent="0.3"/>
    <row r="53" spans="2:11" ht="13.8" customHeight="1" thickBot="1" x14ac:dyDescent="0.3">
      <c r="H53" s="304" t="s">
        <v>49</v>
      </c>
      <c r="I53" s="305"/>
      <c r="J53" s="304" t="s">
        <v>50</v>
      </c>
      <c r="K53" s="306"/>
    </row>
    <row r="54" spans="2:11" x14ac:dyDescent="0.25">
      <c r="B54" s="307" t="s">
        <v>152</v>
      </c>
      <c r="C54" s="41">
        <v>41</v>
      </c>
      <c r="D54" s="310" t="s">
        <v>186</v>
      </c>
      <c r="E54" s="311"/>
      <c r="F54" s="311"/>
      <c r="G54" s="311"/>
      <c r="H54" s="412"/>
      <c r="I54" s="413"/>
      <c r="J54" s="412"/>
      <c r="K54" s="413"/>
    </row>
    <row r="55" spans="2:11" x14ac:dyDescent="0.25">
      <c r="B55" s="308"/>
      <c r="C55" s="81">
        <v>42</v>
      </c>
      <c r="D55" s="414" t="s">
        <v>187</v>
      </c>
      <c r="E55" s="415"/>
      <c r="F55" s="415"/>
      <c r="G55" s="415"/>
      <c r="H55" s="405"/>
      <c r="I55" s="406"/>
      <c r="J55" s="405"/>
      <c r="K55" s="406"/>
    </row>
    <row r="56" spans="2:11" x14ac:dyDescent="0.25">
      <c r="B56" s="308"/>
      <c r="C56" s="81">
        <v>43</v>
      </c>
      <c r="D56" s="414" t="s">
        <v>188</v>
      </c>
      <c r="E56" s="415"/>
      <c r="F56" s="415"/>
      <c r="G56" s="415"/>
      <c r="H56" s="405"/>
      <c r="I56" s="406"/>
      <c r="J56" s="405"/>
      <c r="K56" s="406"/>
    </row>
    <row r="57" spans="2:11" x14ac:dyDescent="0.25">
      <c r="B57" s="308"/>
      <c r="C57" s="81">
        <v>44</v>
      </c>
      <c r="D57" s="414" t="s">
        <v>189</v>
      </c>
      <c r="E57" s="415"/>
      <c r="F57" s="415"/>
      <c r="G57" s="415"/>
      <c r="H57" s="405"/>
      <c r="I57" s="406"/>
      <c r="J57" s="405"/>
      <c r="K57" s="406"/>
    </row>
    <row r="58" spans="2:11" x14ac:dyDescent="0.25">
      <c r="B58" s="308"/>
      <c r="C58" s="81">
        <v>45</v>
      </c>
      <c r="D58" s="414" t="s">
        <v>190</v>
      </c>
      <c r="E58" s="415"/>
      <c r="F58" s="415"/>
      <c r="G58" s="415"/>
      <c r="H58" s="405"/>
      <c r="I58" s="406"/>
      <c r="J58" s="405"/>
      <c r="K58" s="406"/>
    </row>
    <row r="59" spans="2:11" ht="14.4" thickBot="1" x14ac:dyDescent="0.3">
      <c r="B59" s="308"/>
      <c r="C59" s="53">
        <v>46</v>
      </c>
      <c r="D59" s="320" t="s">
        <v>191</v>
      </c>
      <c r="E59" s="321"/>
      <c r="F59" s="321"/>
      <c r="G59" s="321"/>
      <c r="H59" s="407"/>
      <c r="I59" s="408"/>
      <c r="J59" s="407"/>
      <c r="K59" s="408"/>
    </row>
    <row r="60" spans="2:11" x14ac:dyDescent="0.25">
      <c r="B60" s="308"/>
      <c r="C60" s="45">
        <v>47</v>
      </c>
      <c r="D60" s="409" t="s">
        <v>192</v>
      </c>
      <c r="E60" s="410"/>
      <c r="F60" s="410"/>
      <c r="G60" s="411"/>
      <c r="H60" s="66"/>
      <c r="I60" s="67"/>
      <c r="J60" s="66"/>
      <c r="K60" s="67"/>
    </row>
    <row r="61" spans="2:11" x14ac:dyDescent="0.25">
      <c r="B61" s="308"/>
      <c r="C61" s="46">
        <v>48</v>
      </c>
      <c r="D61" s="419" t="s">
        <v>193</v>
      </c>
      <c r="E61" s="329"/>
      <c r="F61" s="329"/>
      <c r="G61" s="420"/>
      <c r="H61" s="68"/>
      <c r="I61" s="69"/>
      <c r="J61" s="68"/>
      <c r="K61" s="69"/>
    </row>
    <row r="62" spans="2:11" ht="14.4" thickBot="1" x14ac:dyDescent="0.3">
      <c r="B62" s="308"/>
      <c r="C62" s="50">
        <v>49</v>
      </c>
      <c r="D62" s="421" t="s">
        <v>194</v>
      </c>
      <c r="E62" s="332"/>
      <c r="F62" s="332"/>
      <c r="G62" s="422"/>
      <c r="H62" s="70"/>
      <c r="I62" s="71"/>
      <c r="J62" s="70"/>
      <c r="K62" s="71"/>
    </row>
    <row r="63" spans="2:11" x14ac:dyDescent="0.25">
      <c r="B63" s="308"/>
      <c r="C63" s="51">
        <v>50</v>
      </c>
      <c r="D63" s="423" t="s">
        <v>195</v>
      </c>
      <c r="E63" s="397"/>
      <c r="F63" s="397"/>
      <c r="G63" s="398"/>
      <c r="H63" s="66"/>
      <c r="I63" s="67"/>
      <c r="J63" s="66"/>
      <c r="K63" s="67"/>
    </row>
    <row r="64" spans="2:11" x14ac:dyDescent="0.25">
      <c r="B64" s="308"/>
      <c r="C64" s="82">
        <v>51</v>
      </c>
      <c r="D64" s="423" t="s">
        <v>196</v>
      </c>
      <c r="E64" s="397"/>
      <c r="F64" s="397"/>
      <c r="G64" s="398"/>
      <c r="H64" s="68"/>
      <c r="I64" s="69"/>
      <c r="J64" s="68"/>
      <c r="K64" s="69"/>
    </row>
    <row r="65" spans="2:11" ht="14.4" thickBot="1" x14ac:dyDescent="0.3">
      <c r="B65" s="309"/>
      <c r="C65" s="52">
        <v>52</v>
      </c>
      <c r="D65" s="424" t="s">
        <v>197</v>
      </c>
      <c r="E65" s="347"/>
      <c r="F65" s="347"/>
      <c r="G65" s="399"/>
      <c r="H65" s="70"/>
      <c r="I65" s="71"/>
      <c r="J65" s="70"/>
      <c r="K65" s="71"/>
    </row>
    <row r="66" spans="2:11" ht="7.95" customHeight="1" thickBot="1" x14ac:dyDescent="0.35">
      <c r="B66" s="40"/>
      <c r="C66" s="40"/>
      <c r="D66" s="49"/>
      <c r="E66" s="49"/>
      <c r="F66" s="49"/>
      <c r="G66" s="49"/>
      <c r="H66" s="40"/>
      <c r="I66" s="40"/>
      <c r="J66" s="40"/>
      <c r="K66" s="40"/>
    </row>
    <row r="67" spans="2:11" ht="14.4" thickBot="1" x14ac:dyDescent="0.3">
      <c r="B67" s="83" t="s">
        <v>74</v>
      </c>
      <c r="C67" s="84">
        <v>53</v>
      </c>
      <c r="D67" s="416" t="s">
        <v>186</v>
      </c>
      <c r="E67" s="417"/>
      <c r="F67" s="417"/>
      <c r="G67" s="418"/>
      <c r="H67" s="326"/>
      <c r="I67" s="327"/>
      <c r="J67" s="326"/>
      <c r="K67" s="327"/>
    </row>
    <row r="68" spans="2:11" ht="7.95" customHeight="1" thickBot="1" x14ac:dyDescent="0.35">
      <c r="B68" s="40"/>
      <c r="C68" s="40"/>
      <c r="D68" s="49"/>
      <c r="E68" s="49"/>
      <c r="F68" s="49"/>
      <c r="G68" s="49"/>
      <c r="H68" s="360"/>
      <c r="I68" s="360"/>
      <c r="J68" s="360"/>
      <c r="K68" s="360"/>
    </row>
    <row r="69" spans="2:11" x14ac:dyDescent="0.25">
      <c r="B69" s="383" t="s">
        <v>154</v>
      </c>
      <c r="C69" s="41">
        <v>54</v>
      </c>
      <c r="D69" s="310" t="s">
        <v>198</v>
      </c>
      <c r="E69" s="311"/>
      <c r="F69" s="311"/>
      <c r="G69" s="311"/>
      <c r="H69" s="412"/>
      <c r="I69" s="413"/>
      <c r="J69" s="412"/>
      <c r="K69" s="413"/>
    </row>
    <row r="70" spans="2:11" x14ac:dyDescent="0.25">
      <c r="B70" s="361"/>
      <c r="C70" s="42">
        <v>55</v>
      </c>
      <c r="D70" s="315" t="s">
        <v>199</v>
      </c>
      <c r="E70" s="316"/>
      <c r="F70" s="316"/>
      <c r="G70" s="316"/>
      <c r="H70" s="405"/>
      <c r="I70" s="406"/>
      <c r="J70" s="405"/>
      <c r="K70" s="406"/>
    </row>
    <row r="71" spans="2:11" ht="14.4" thickBot="1" x14ac:dyDescent="0.3">
      <c r="B71" s="361"/>
      <c r="C71" s="43">
        <v>56</v>
      </c>
      <c r="D71" s="320" t="s">
        <v>200</v>
      </c>
      <c r="E71" s="321"/>
      <c r="F71" s="321"/>
      <c r="G71" s="321"/>
      <c r="H71" s="425"/>
      <c r="I71" s="426"/>
      <c r="J71" s="425"/>
      <c r="K71" s="426"/>
    </row>
    <row r="72" spans="2:11" x14ac:dyDescent="0.25">
      <c r="B72" s="308"/>
      <c r="C72" s="45">
        <v>57</v>
      </c>
      <c r="D72" s="301" t="s">
        <v>201</v>
      </c>
      <c r="E72" s="302"/>
      <c r="F72" s="302"/>
      <c r="G72" s="303"/>
      <c r="H72" s="107"/>
      <c r="I72" s="108"/>
      <c r="J72" s="107"/>
      <c r="K72" s="108"/>
    </row>
    <row r="73" spans="2:11" x14ac:dyDescent="0.25">
      <c r="B73" s="308"/>
      <c r="C73" s="46">
        <v>58</v>
      </c>
      <c r="D73" s="328" t="s">
        <v>202</v>
      </c>
      <c r="E73" s="329"/>
      <c r="F73" s="329"/>
      <c r="G73" s="330"/>
      <c r="H73" s="68"/>
      <c r="I73" s="69"/>
      <c r="J73" s="68"/>
      <c r="K73" s="69"/>
    </row>
    <row r="74" spans="2:11" x14ac:dyDescent="0.25">
      <c r="B74" s="308"/>
      <c r="C74" s="46">
        <v>59</v>
      </c>
      <c r="D74" s="453" t="s">
        <v>203</v>
      </c>
      <c r="E74" s="454"/>
      <c r="F74" s="454"/>
      <c r="G74" s="455"/>
      <c r="H74" s="68"/>
      <c r="I74" s="69"/>
      <c r="J74" s="68"/>
      <c r="K74" s="69"/>
    </row>
    <row r="75" spans="2:11" ht="14.4" thickBot="1" x14ac:dyDescent="0.3">
      <c r="B75" s="309"/>
      <c r="C75" s="47">
        <v>60</v>
      </c>
      <c r="D75" s="331" t="s">
        <v>204</v>
      </c>
      <c r="E75" s="332"/>
      <c r="F75" s="332"/>
      <c r="G75" s="333"/>
      <c r="H75" s="70"/>
      <c r="I75" s="71"/>
      <c r="J75" s="70"/>
      <c r="K75" s="71"/>
    </row>
    <row r="76" spans="2:11" ht="7.95" customHeight="1" thickBot="1" x14ac:dyDescent="0.35">
      <c r="B76" s="58"/>
      <c r="C76" s="40"/>
      <c r="D76" s="49"/>
      <c r="E76" s="49"/>
      <c r="F76" s="49"/>
      <c r="G76" s="49"/>
      <c r="H76" s="40"/>
      <c r="I76" s="40"/>
      <c r="J76" s="40"/>
      <c r="K76" s="40"/>
    </row>
    <row r="77" spans="2:11" x14ac:dyDescent="0.25">
      <c r="B77" s="383" t="s">
        <v>155</v>
      </c>
      <c r="C77" s="59">
        <v>61</v>
      </c>
      <c r="D77" s="384" t="s">
        <v>205</v>
      </c>
      <c r="E77" s="385"/>
      <c r="F77" s="385"/>
      <c r="G77" s="429"/>
      <c r="H77" s="412"/>
      <c r="I77" s="413"/>
      <c r="J77" s="412"/>
      <c r="K77" s="413"/>
    </row>
    <row r="78" spans="2:11" x14ac:dyDescent="0.25">
      <c r="B78" s="361"/>
      <c r="C78" s="60">
        <v>62</v>
      </c>
      <c r="D78" s="387" t="s">
        <v>206</v>
      </c>
      <c r="E78" s="388"/>
      <c r="F78" s="388"/>
      <c r="G78" s="430"/>
      <c r="H78" s="62"/>
      <c r="I78" s="63"/>
      <c r="J78" s="62"/>
      <c r="K78" s="63"/>
    </row>
    <row r="79" spans="2:11" x14ac:dyDescent="0.25">
      <c r="B79" s="361"/>
      <c r="C79" s="60">
        <v>63</v>
      </c>
      <c r="D79" s="387" t="s">
        <v>207</v>
      </c>
      <c r="E79" s="388"/>
      <c r="F79" s="388"/>
      <c r="G79" s="430"/>
      <c r="H79" s="405"/>
      <c r="I79" s="406"/>
      <c r="J79" s="405"/>
      <c r="K79" s="406"/>
    </row>
    <row r="80" spans="2:11" ht="14.4" x14ac:dyDescent="0.3">
      <c r="B80" s="361"/>
      <c r="C80" s="60">
        <v>64</v>
      </c>
      <c r="D80" s="387" t="s">
        <v>208</v>
      </c>
      <c r="E80" s="388"/>
      <c r="F80" s="388"/>
      <c r="G80" s="430"/>
      <c r="H80" s="427"/>
      <c r="I80" s="428"/>
      <c r="J80" s="427"/>
      <c r="K80" s="428"/>
    </row>
    <row r="81" spans="2:11" ht="14.4" x14ac:dyDescent="0.3">
      <c r="B81" s="361"/>
      <c r="C81" s="60">
        <v>65</v>
      </c>
      <c r="D81" s="387" t="s">
        <v>209</v>
      </c>
      <c r="E81" s="388"/>
      <c r="F81" s="388"/>
      <c r="G81" s="430"/>
      <c r="H81" s="427"/>
      <c r="I81" s="428"/>
      <c r="J81" s="427"/>
      <c r="K81" s="428"/>
    </row>
    <row r="82" spans="2:11" ht="14.4" x14ac:dyDescent="0.3">
      <c r="B82" s="361"/>
      <c r="C82" s="60">
        <v>66</v>
      </c>
      <c r="D82" s="387" t="s">
        <v>210</v>
      </c>
      <c r="E82" s="388"/>
      <c r="F82" s="388"/>
      <c r="G82" s="430"/>
      <c r="H82" s="427"/>
      <c r="I82" s="428"/>
      <c r="J82" s="427"/>
      <c r="K82" s="428"/>
    </row>
    <row r="83" spans="2:11" ht="14.4" x14ac:dyDescent="0.3">
      <c r="B83" s="361"/>
      <c r="C83" s="60">
        <v>67</v>
      </c>
      <c r="D83" s="387" t="s">
        <v>211</v>
      </c>
      <c r="E83" s="388"/>
      <c r="F83" s="388"/>
      <c r="G83" s="430"/>
      <c r="H83" s="427"/>
      <c r="I83" s="428"/>
      <c r="J83" s="427"/>
      <c r="K83" s="428"/>
    </row>
    <row r="84" spans="2:11" ht="14.4" x14ac:dyDescent="0.3">
      <c r="B84" s="361"/>
      <c r="C84" s="60">
        <v>68</v>
      </c>
      <c r="D84" s="387" t="s">
        <v>212</v>
      </c>
      <c r="E84" s="448"/>
      <c r="F84" s="448"/>
      <c r="G84" s="449"/>
      <c r="H84" s="427"/>
      <c r="I84" s="428"/>
      <c r="J84" s="427"/>
      <c r="K84" s="428"/>
    </row>
    <row r="85" spans="2:11" ht="14.4" x14ac:dyDescent="0.3">
      <c r="B85" s="361"/>
      <c r="C85" s="60">
        <v>69</v>
      </c>
      <c r="D85" s="387" t="s">
        <v>213</v>
      </c>
      <c r="E85" s="448"/>
      <c r="F85" s="448"/>
      <c r="G85" s="449"/>
      <c r="H85" s="427"/>
      <c r="I85" s="428"/>
      <c r="J85" s="427"/>
      <c r="K85" s="428"/>
    </row>
    <row r="86" spans="2:11" ht="15" thickBot="1" x14ac:dyDescent="0.35">
      <c r="B86" s="362"/>
      <c r="C86" s="85">
        <v>70</v>
      </c>
      <c r="D86" s="450" t="s">
        <v>214</v>
      </c>
      <c r="E86" s="451"/>
      <c r="F86" s="451"/>
      <c r="G86" s="452"/>
      <c r="H86" s="431"/>
      <c r="I86" s="432"/>
      <c r="J86" s="431"/>
      <c r="K86" s="432"/>
    </row>
    <row r="87" spans="2:11" ht="14.4" thickBot="1" x14ac:dyDescent="0.3"/>
    <row r="88" spans="2:11" ht="14.4" thickBot="1" x14ac:dyDescent="0.3">
      <c r="B88" s="87" t="s">
        <v>215</v>
      </c>
      <c r="C88" s="88"/>
      <c r="D88" s="88"/>
      <c r="E88" s="89" t="s">
        <v>50</v>
      </c>
      <c r="F88" s="90" t="s">
        <v>49</v>
      </c>
      <c r="G88" s="86"/>
    </row>
    <row r="89" spans="2:11" x14ac:dyDescent="0.25">
      <c r="B89" s="444">
        <v>34</v>
      </c>
      <c r="C89" s="445"/>
      <c r="D89" s="95" t="s">
        <v>216</v>
      </c>
      <c r="E89" s="109" t="s">
        <v>217</v>
      </c>
      <c r="F89" s="110" t="s">
        <v>217</v>
      </c>
    </row>
    <row r="90" spans="2:11" ht="14.4" thickBot="1" x14ac:dyDescent="0.3">
      <c r="B90" s="433">
        <v>35</v>
      </c>
      <c r="C90" s="434"/>
      <c r="D90" s="96" t="s">
        <v>218</v>
      </c>
      <c r="E90" s="112" t="s">
        <v>217</v>
      </c>
      <c r="F90" s="111" t="s">
        <v>217</v>
      </c>
    </row>
    <row r="91" spans="2:11" ht="14.4" thickBot="1" x14ac:dyDescent="0.3"/>
    <row r="92" spans="2:11" ht="14.4" thickBot="1" x14ac:dyDescent="0.3">
      <c r="B92" s="441" t="s">
        <v>400</v>
      </c>
      <c r="C92" s="442"/>
      <c r="D92" s="442"/>
      <c r="E92" s="442"/>
      <c r="F92" s="443"/>
    </row>
    <row r="93" spans="2:11" x14ac:dyDescent="0.25">
      <c r="B93" s="444">
        <v>36</v>
      </c>
      <c r="C93" s="445"/>
      <c r="D93" s="435" t="s">
        <v>309</v>
      </c>
      <c r="E93" s="436"/>
      <c r="F93" s="113" t="s">
        <v>260</v>
      </c>
    </row>
    <row r="94" spans="2:11" x14ac:dyDescent="0.25">
      <c r="B94" s="446">
        <v>37</v>
      </c>
      <c r="C94" s="447"/>
      <c r="D94" s="94" t="s">
        <v>401</v>
      </c>
      <c r="E94" s="93"/>
      <c r="F94" s="114" t="s">
        <v>260</v>
      </c>
    </row>
    <row r="95" spans="2:11" x14ac:dyDescent="0.25">
      <c r="B95" s="446">
        <v>38</v>
      </c>
      <c r="C95" s="447"/>
      <c r="D95" s="437" t="s">
        <v>402</v>
      </c>
      <c r="E95" s="438"/>
      <c r="F95" s="114"/>
    </row>
    <row r="96" spans="2:11" ht="14.4" thickBot="1" x14ac:dyDescent="0.3">
      <c r="B96" s="433">
        <v>39</v>
      </c>
      <c r="C96" s="434"/>
      <c r="D96" s="439" t="s">
        <v>403</v>
      </c>
      <c r="E96" s="440"/>
      <c r="F96" s="115"/>
    </row>
  </sheetData>
  <sheetProtection algorithmName="SHA-512" hashValue="eBNoG4QjcLOKtDe2Axd9bFp/6bQaYnc9dgZC6q8gJsP0l9egGql7feP6jhy0XqBRG5WR0crS0p/V9Je6BubLnQ==" saltValue="z19FhXjRn7x/ul3+3Zbxag==" spinCount="100000" sheet="1" objects="1" scenarios="1" selectLockedCells="1"/>
  <mergeCells count="162">
    <mergeCell ref="B96:C96"/>
    <mergeCell ref="D93:E93"/>
    <mergeCell ref="D95:E95"/>
    <mergeCell ref="D96:E96"/>
    <mergeCell ref="H53:I53"/>
    <mergeCell ref="B92:F92"/>
    <mergeCell ref="B93:C93"/>
    <mergeCell ref="B94:C94"/>
    <mergeCell ref="B95:C95"/>
    <mergeCell ref="B89:C89"/>
    <mergeCell ref="B90:C90"/>
    <mergeCell ref="D85:G85"/>
    <mergeCell ref="H85:I85"/>
    <mergeCell ref="D86:G86"/>
    <mergeCell ref="H86:I86"/>
    <mergeCell ref="D83:G83"/>
    <mergeCell ref="H83:I83"/>
    <mergeCell ref="D84:G84"/>
    <mergeCell ref="H84:I84"/>
    <mergeCell ref="B69:B75"/>
    <mergeCell ref="D69:G69"/>
    <mergeCell ref="H69:I69"/>
    <mergeCell ref="D74:G74"/>
    <mergeCell ref="D75:G75"/>
    <mergeCell ref="J84:K84"/>
    <mergeCell ref="B77:B86"/>
    <mergeCell ref="D77:G77"/>
    <mergeCell ref="H77:I77"/>
    <mergeCell ref="J77:K77"/>
    <mergeCell ref="D78:G78"/>
    <mergeCell ref="D79:G79"/>
    <mergeCell ref="H79:I79"/>
    <mergeCell ref="J79:K79"/>
    <mergeCell ref="D80:G80"/>
    <mergeCell ref="H80:I80"/>
    <mergeCell ref="J80:K80"/>
    <mergeCell ref="D81:G81"/>
    <mergeCell ref="H81:I81"/>
    <mergeCell ref="J81:K81"/>
    <mergeCell ref="D82:G82"/>
    <mergeCell ref="H82:I82"/>
    <mergeCell ref="J85:K85"/>
    <mergeCell ref="J86:K86"/>
    <mergeCell ref="J82:K82"/>
    <mergeCell ref="J83:K83"/>
    <mergeCell ref="J69:K69"/>
    <mergeCell ref="D70:G70"/>
    <mergeCell ref="H70:I70"/>
    <mergeCell ref="J70:K70"/>
    <mergeCell ref="D71:G71"/>
    <mergeCell ref="H71:I71"/>
    <mergeCell ref="J71:K71"/>
    <mergeCell ref="D72:G72"/>
    <mergeCell ref="D73:G73"/>
    <mergeCell ref="D67:G67"/>
    <mergeCell ref="H67:I67"/>
    <mergeCell ref="J67:K67"/>
    <mergeCell ref="H68:I68"/>
    <mergeCell ref="J68:K68"/>
    <mergeCell ref="D61:G61"/>
    <mergeCell ref="D62:G62"/>
    <mergeCell ref="D63:G63"/>
    <mergeCell ref="D64:G64"/>
    <mergeCell ref="D65:G65"/>
    <mergeCell ref="J58:K58"/>
    <mergeCell ref="D59:G59"/>
    <mergeCell ref="H59:I59"/>
    <mergeCell ref="J59:K59"/>
    <mergeCell ref="D60:G60"/>
    <mergeCell ref="B51:K51"/>
    <mergeCell ref="B54:B65"/>
    <mergeCell ref="D54:G54"/>
    <mergeCell ref="H54:I54"/>
    <mergeCell ref="J54:K54"/>
    <mergeCell ref="D55:G55"/>
    <mergeCell ref="H55:I55"/>
    <mergeCell ref="J55:K55"/>
    <mergeCell ref="D56:G56"/>
    <mergeCell ref="H56:I56"/>
    <mergeCell ref="J56:K56"/>
    <mergeCell ref="D57:G57"/>
    <mergeCell ref="H57:I57"/>
    <mergeCell ref="J57:K57"/>
    <mergeCell ref="D58:G58"/>
    <mergeCell ref="H58:I58"/>
    <mergeCell ref="J53:K53"/>
    <mergeCell ref="H39:I39"/>
    <mergeCell ref="J39:K39"/>
    <mergeCell ref="B1:K1"/>
    <mergeCell ref="B42:K50"/>
    <mergeCell ref="B41:K41"/>
    <mergeCell ref="B35:B39"/>
    <mergeCell ref="D35:G35"/>
    <mergeCell ref="H35:I35"/>
    <mergeCell ref="J35:K35"/>
    <mergeCell ref="D36:G36"/>
    <mergeCell ref="D37:G37"/>
    <mergeCell ref="D38:G38"/>
    <mergeCell ref="H38:I38"/>
    <mergeCell ref="J38:K38"/>
    <mergeCell ref="D39:G39"/>
    <mergeCell ref="D31:G31"/>
    <mergeCell ref="H31:I31"/>
    <mergeCell ref="J31:K31"/>
    <mergeCell ref="D32:G32"/>
    <mergeCell ref="D33:G33"/>
    <mergeCell ref="H33:I33"/>
    <mergeCell ref="J33:K33"/>
    <mergeCell ref="D30:G30"/>
    <mergeCell ref="H23:I23"/>
    <mergeCell ref="J23:K23"/>
    <mergeCell ref="B24:B33"/>
    <mergeCell ref="D24:G24"/>
    <mergeCell ref="H24:I24"/>
    <mergeCell ref="J24:K24"/>
    <mergeCell ref="D25:G25"/>
    <mergeCell ref="H25:I25"/>
    <mergeCell ref="J25:K25"/>
    <mergeCell ref="D26:G26"/>
    <mergeCell ref="H26:I26"/>
    <mergeCell ref="J26:K26"/>
    <mergeCell ref="D27:G27"/>
    <mergeCell ref="D28:G28"/>
    <mergeCell ref="D29:G29"/>
    <mergeCell ref="B14:B22"/>
    <mergeCell ref="D14:G14"/>
    <mergeCell ref="D17:G17"/>
    <mergeCell ref="D21:G21"/>
    <mergeCell ref="D22:G22"/>
    <mergeCell ref="D20:G20"/>
    <mergeCell ref="D19:G19"/>
    <mergeCell ref="H17:I17"/>
    <mergeCell ref="J17:K17"/>
    <mergeCell ref="D18:G18"/>
    <mergeCell ref="H18:I18"/>
    <mergeCell ref="J18:K18"/>
    <mergeCell ref="J14:K14"/>
    <mergeCell ref="D15:G15"/>
    <mergeCell ref="H15:I15"/>
    <mergeCell ref="J15:K15"/>
    <mergeCell ref="D16:G16"/>
    <mergeCell ref="H16:I16"/>
    <mergeCell ref="J16:K16"/>
    <mergeCell ref="H14:I14"/>
    <mergeCell ref="D9:G9"/>
    <mergeCell ref="H3:I3"/>
    <mergeCell ref="J3:K3"/>
    <mergeCell ref="B4:B12"/>
    <mergeCell ref="D4:G4"/>
    <mergeCell ref="H4:I4"/>
    <mergeCell ref="J4:K4"/>
    <mergeCell ref="D5:G5"/>
    <mergeCell ref="H5:I5"/>
    <mergeCell ref="J5:K5"/>
    <mergeCell ref="D6:G6"/>
    <mergeCell ref="D7:G7"/>
    <mergeCell ref="D8:G8"/>
    <mergeCell ref="H8:I8"/>
    <mergeCell ref="J8:K8"/>
    <mergeCell ref="D10:G10"/>
    <mergeCell ref="D11:G11"/>
    <mergeCell ref="D12:G12"/>
  </mergeCells>
  <dataValidations count="1">
    <dataValidation type="list" allowBlank="1" showInputMessage="1" showErrorMessage="1" sqref="F93:F94">
      <formula1>Oui_non</formula1>
    </dataValidation>
  </dataValidation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listes!$D$2:$D$4</xm:f>
          </x14:formula1>
          <xm:sqref>E89:F90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L49"/>
  <sheetViews>
    <sheetView tabSelected="1" zoomScaleNormal="100" zoomScalePageLayoutView="70" workbookViewId="0">
      <selection activeCell="J15" sqref="J15"/>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412</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h5r5VmiuwKw8UNKfktbkPLNkXAPQJAPAVDHitAK0RZhc9ngsps0BXFBE/4j4dU5z0SrUCC89leOG63Fk2OwU4w==" saltValue="4VSkkx/TCPwZHS2GooCWPw==" spinCount="100000" sheet="1" objects="1" scenarios="1" selectLockedCells="1"/>
  <mergeCells count="7">
    <mergeCell ref="A39:A46"/>
    <mergeCell ref="B49:I49"/>
    <mergeCell ref="A3:A10"/>
    <mergeCell ref="B1:I1"/>
    <mergeCell ref="A12:A19"/>
    <mergeCell ref="A21:A28"/>
    <mergeCell ref="A30:A37"/>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L49"/>
  <sheetViews>
    <sheetView zoomScaleNormal="100" zoomScalePageLayoutView="70" workbookViewId="0">
      <selection activeCell="J1" sqref="J1"/>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413</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kjQtToarT60yhISwG1ZsSUIQzQTcBJOk+weTkQrTGka+RC0R5ML2u4lp17Q26JmhqiGGtRKCeIeeiyfnj7LDyg==" saltValue="u4rFfMbt0Oo7EMymLM2Gfg=="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L49"/>
  <sheetViews>
    <sheetView zoomScaleNormal="100" zoomScalePageLayoutView="70" workbookViewId="0">
      <selection activeCell="L8" sqref="L8"/>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414</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wM08GOgL4u4EfYmDa1toLBvbFnMZf10j4j7JJVIlAOI8EJFo3xIxpSce5GXaZF08WiJNSGjer4bReLj2NVCnJw==" saltValue="C+RItq/En4VvinNy9uHvUw=="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AC104"/>
  <sheetViews>
    <sheetView zoomScale="70" zoomScaleNormal="70" workbookViewId="0">
      <selection activeCell="E26" sqref="E26"/>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1" x14ac:dyDescent="0.3">
      <c r="A97">
        <v>93</v>
      </c>
    </row>
    <row r="98" spans="1:1" x14ac:dyDescent="0.3">
      <c r="A98">
        <v>94</v>
      </c>
    </row>
    <row r="99" spans="1:1" x14ac:dyDescent="0.3">
      <c r="A99">
        <v>95</v>
      </c>
    </row>
    <row r="100" spans="1:1" x14ac:dyDescent="0.3">
      <c r="A100">
        <v>96</v>
      </c>
    </row>
    <row r="101" spans="1:1" x14ac:dyDescent="0.3">
      <c r="A101">
        <v>97</v>
      </c>
    </row>
    <row r="102" spans="1:1" x14ac:dyDescent="0.3">
      <c r="A102">
        <v>98</v>
      </c>
    </row>
    <row r="103" spans="1:1" x14ac:dyDescent="0.3">
      <c r="A103">
        <v>99</v>
      </c>
    </row>
    <row r="104" spans="1:1" x14ac:dyDescent="0.3">
      <c r="A104">
        <v>100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C209"/>
  <sheetViews>
    <sheetView zoomScale="70" zoomScaleNormal="70" workbookViewId="0">
      <selection activeCell="Q43" sqref="Q43"/>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29" x14ac:dyDescent="0.3">
      <c r="A97">
        <v>93</v>
      </c>
    </row>
    <row r="98" spans="1:29" x14ac:dyDescent="0.3">
      <c r="A98">
        <v>94</v>
      </c>
    </row>
    <row r="99" spans="1:29" x14ac:dyDescent="0.3">
      <c r="A99">
        <v>95</v>
      </c>
    </row>
    <row r="100" spans="1:29" x14ac:dyDescent="0.3">
      <c r="A100">
        <v>96</v>
      </c>
    </row>
    <row r="101" spans="1:29" x14ac:dyDescent="0.3">
      <c r="A101">
        <v>97</v>
      </c>
    </row>
    <row r="102" spans="1:29" x14ac:dyDescent="0.3">
      <c r="A102">
        <v>98</v>
      </c>
    </row>
    <row r="103" spans="1:29" x14ac:dyDescent="0.3">
      <c r="A103">
        <v>99</v>
      </c>
    </row>
    <row r="104" spans="1:29" x14ac:dyDescent="0.3">
      <c r="A104">
        <v>100</v>
      </c>
    </row>
    <row r="106" spans="1:29" x14ac:dyDescent="0.3">
      <c r="A106" t="s">
        <v>65</v>
      </c>
      <c r="B106" t="s">
        <v>65</v>
      </c>
      <c r="C106" t="s">
        <v>65</v>
      </c>
      <c r="D106" t="s">
        <v>65</v>
      </c>
      <c r="E106" t="s">
        <v>65</v>
      </c>
      <c r="F106" t="s">
        <v>65</v>
      </c>
      <c r="G106" t="s">
        <v>99</v>
      </c>
      <c r="H106" t="s">
        <v>99</v>
      </c>
      <c r="I106" t="s">
        <v>99</v>
      </c>
      <c r="J106" t="s">
        <v>99</v>
      </c>
      <c r="K106" t="s">
        <v>99</v>
      </c>
      <c r="L106" t="s">
        <v>99</v>
      </c>
      <c r="M106" t="s">
        <v>93</v>
      </c>
      <c r="N106" t="s">
        <v>93</v>
      </c>
      <c r="O106" t="s">
        <v>93</v>
      </c>
      <c r="P106" t="s">
        <v>93</v>
      </c>
      <c r="Q106" t="s">
        <v>93</v>
      </c>
      <c r="R106" t="s">
        <v>93</v>
      </c>
      <c r="S106" t="s">
        <v>97</v>
      </c>
      <c r="T106" t="s">
        <v>97</v>
      </c>
      <c r="U106" t="s">
        <v>97</v>
      </c>
      <c r="V106" t="s">
        <v>97</v>
      </c>
      <c r="W106" t="s">
        <v>100</v>
      </c>
      <c r="X106" t="s">
        <v>100</v>
      </c>
      <c r="Y106" t="s">
        <v>100</v>
      </c>
      <c r="Z106" t="s">
        <v>100</v>
      </c>
      <c r="AA106" t="s">
        <v>100</v>
      </c>
      <c r="AB106" t="s">
        <v>100</v>
      </c>
      <c r="AC106" t="s">
        <v>50</v>
      </c>
    </row>
    <row r="107" spans="1:29" x14ac:dyDescent="0.3">
      <c r="A107" t="s">
        <v>64</v>
      </c>
      <c r="C107" t="s">
        <v>92</v>
      </c>
      <c r="E107" t="s">
        <v>91</v>
      </c>
      <c r="G107" t="s">
        <v>94</v>
      </c>
      <c r="I107" t="s">
        <v>95</v>
      </c>
      <c r="K107" t="s">
        <v>96</v>
      </c>
      <c r="M107" t="s">
        <v>94</v>
      </c>
      <c r="O107" t="s">
        <v>95</v>
      </c>
      <c r="Q107" t="s">
        <v>96</v>
      </c>
      <c r="S107" t="s">
        <v>94</v>
      </c>
      <c r="U107" t="s">
        <v>98</v>
      </c>
      <c r="W107" t="s">
        <v>64</v>
      </c>
      <c r="Y107" t="s">
        <v>92</v>
      </c>
      <c r="AA107" t="s">
        <v>91</v>
      </c>
    </row>
    <row r="108" spans="1:29" x14ac:dyDescent="0.3">
      <c r="A108" t="s">
        <v>63</v>
      </c>
      <c r="B108" t="s">
        <v>49</v>
      </c>
      <c r="C108" t="s">
        <v>50</v>
      </c>
      <c r="D108" t="s">
        <v>49</v>
      </c>
      <c r="E108" t="s">
        <v>50</v>
      </c>
      <c r="F108" t="s">
        <v>49</v>
      </c>
      <c r="G108" t="s">
        <v>50</v>
      </c>
      <c r="H108" t="s">
        <v>49</v>
      </c>
      <c r="I108" t="s">
        <v>50</v>
      </c>
      <c r="J108" t="s">
        <v>49</v>
      </c>
      <c r="K108" t="s">
        <v>50</v>
      </c>
      <c r="L108" t="s">
        <v>49</v>
      </c>
      <c r="M108" t="s">
        <v>50</v>
      </c>
      <c r="N108" t="s">
        <v>49</v>
      </c>
      <c r="O108" t="s">
        <v>50</v>
      </c>
      <c r="P108" t="s">
        <v>49</v>
      </c>
      <c r="Q108" t="s">
        <v>50</v>
      </c>
      <c r="R108" t="s">
        <v>49</v>
      </c>
      <c r="S108" t="s">
        <v>50</v>
      </c>
      <c r="T108" t="s">
        <v>49</v>
      </c>
      <c r="U108" t="s">
        <v>50</v>
      </c>
      <c r="V108" t="s">
        <v>49</v>
      </c>
      <c r="W108" t="s">
        <v>50</v>
      </c>
      <c r="X108" t="s">
        <v>49</v>
      </c>
      <c r="Y108" t="s">
        <v>50</v>
      </c>
      <c r="Z108" t="s">
        <v>49</v>
      </c>
      <c r="AA108" t="s">
        <v>50</v>
      </c>
      <c r="AB108" t="s">
        <v>49</v>
      </c>
    </row>
    <row r="109" spans="1:29" x14ac:dyDescent="0.3">
      <c r="A109">
        <v>0</v>
      </c>
    </row>
    <row r="110" spans="1:29" x14ac:dyDescent="0.3">
      <c r="A110">
        <v>1</v>
      </c>
    </row>
    <row r="111" spans="1:29" x14ac:dyDescent="0.3">
      <c r="A111">
        <v>2</v>
      </c>
    </row>
    <row r="112" spans="1:29" x14ac:dyDescent="0.3">
      <c r="A112">
        <v>3</v>
      </c>
    </row>
    <row r="113" spans="1:1" x14ac:dyDescent="0.3">
      <c r="A113">
        <v>4</v>
      </c>
    </row>
    <row r="114" spans="1:1" x14ac:dyDescent="0.3">
      <c r="A114">
        <v>5</v>
      </c>
    </row>
    <row r="115" spans="1:1" x14ac:dyDescent="0.3">
      <c r="A115">
        <v>6</v>
      </c>
    </row>
    <row r="116" spans="1:1" x14ac:dyDescent="0.3">
      <c r="A116">
        <v>7</v>
      </c>
    </row>
    <row r="117" spans="1:1" x14ac:dyDescent="0.3">
      <c r="A117">
        <v>8</v>
      </c>
    </row>
    <row r="118" spans="1:1" x14ac:dyDescent="0.3">
      <c r="A118">
        <v>9</v>
      </c>
    </row>
    <row r="119" spans="1:1" x14ac:dyDescent="0.3">
      <c r="A119">
        <v>10</v>
      </c>
    </row>
    <row r="120" spans="1:1" x14ac:dyDescent="0.3">
      <c r="A120">
        <v>11</v>
      </c>
    </row>
    <row r="121" spans="1:1" x14ac:dyDescent="0.3">
      <c r="A121">
        <v>12</v>
      </c>
    </row>
    <row r="122" spans="1:1" x14ac:dyDescent="0.3">
      <c r="A122">
        <v>13</v>
      </c>
    </row>
    <row r="123" spans="1:1" x14ac:dyDescent="0.3">
      <c r="A123">
        <v>14</v>
      </c>
    </row>
    <row r="124" spans="1:1" x14ac:dyDescent="0.3">
      <c r="A124">
        <v>15</v>
      </c>
    </row>
    <row r="125" spans="1:1" x14ac:dyDescent="0.3">
      <c r="A125">
        <v>16</v>
      </c>
    </row>
    <row r="126" spans="1:1" x14ac:dyDescent="0.3">
      <c r="A126">
        <v>17</v>
      </c>
    </row>
    <row r="127" spans="1:1" x14ac:dyDescent="0.3">
      <c r="A127">
        <v>18</v>
      </c>
    </row>
    <row r="128" spans="1:1" x14ac:dyDescent="0.3">
      <c r="A128">
        <v>19</v>
      </c>
    </row>
    <row r="129" spans="1:1" x14ac:dyDescent="0.3">
      <c r="A129">
        <v>20</v>
      </c>
    </row>
    <row r="130" spans="1:1" x14ac:dyDescent="0.3">
      <c r="A130">
        <v>21</v>
      </c>
    </row>
    <row r="131" spans="1:1" x14ac:dyDescent="0.3">
      <c r="A131">
        <v>22</v>
      </c>
    </row>
    <row r="132" spans="1:1" x14ac:dyDescent="0.3">
      <c r="A132">
        <v>23</v>
      </c>
    </row>
    <row r="133" spans="1:1" x14ac:dyDescent="0.3">
      <c r="A133">
        <v>24</v>
      </c>
    </row>
    <row r="134" spans="1:1" x14ac:dyDescent="0.3">
      <c r="A134">
        <v>25</v>
      </c>
    </row>
    <row r="135" spans="1:1" x14ac:dyDescent="0.3">
      <c r="A135">
        <v>26</v>
      </c>
    </row>
    <row r="136" spans="1:1" x14ac:dyDescent="0.3">
      <c r="A136">
        <v>27</v>
      </c>
    </row>
    <row r="137" spans="1:1" x14ac:dyDescent="0.3">
      <c r="A137">
        <v>28</v>
      </c>
    </row>
    <row r="138" spans="1:1" x14ac:dyDescent="0.3">
      <c r="A138">
        <v>29</v>
      </c>
    </row>
    <row r="139" spans="1:1" x14ac:dyDescent="0.3">
      <c r="A139">
        <v>30</v>
      </c>
    </row>
    <row r="140" spans="1:1" x14ac:dyDescent="0.3">
      <c r="A140">
        <v>31</v>
      </c>
    </row>
    <row r="141" spans="1:1" x14ac:dyDescent="0.3">
      <c r="A141">
        <v>32</v>
      </c>
    </row>
    <row r="142" spans="1:1" x14ac:dyDescent="0.3">
      <c r="A142">
        <v>33</v>
      </c>
    </row>
    <row r="143" spans="1:1" x14ac:dyDescent="0.3">
      <c r="A143">
        <v>34</v>
      </c>
    </row>
    <row r="144" spans="1:1" x14ac:dyDescent="0.3">
      <c r="A144">
        <v>35</v>
      </c>
    </row>
    <row r="145" spans="1:1" x14ac:dyDescent="0.3">
      <c r="A145">
        <v>36</v>
      </c>
    </row>
    <row r="146" spans="1:1" x14ac:dyDescent="0.3">
      <c r="A146">
        <v>37</v>
      </c>
    </row>
    <row r="147" spans="1:1" x14ac:dyDescent="0.3">
      <c r="A147">
        <v>38</v>
      </c>
    </row>
    <row r="148" spans="1:1" x14ac:dyDescent="0.3">
      <c r="A148">
        <v>39</v>
      </c>
    </row>
    <row r="149" spans="1:1" x14ac:dyDescent="0.3">
      <c r="A149">
        <v>40</v>
      </c>
    </row>
    <row r="150" spans="1:1" x14ac:dyDescent="0.3">
      <c r="A150">
        <v>41</v>
      </c>
    </row>
    <row r="151" spans="1:1" x14ac:dyDescent="0.3">
      <c r="A151">
        <v>42</v>
      </c>
    </row>
    <row r="152" spans="1:1" x14ac:dyDescent="0.3">
      <c r="A152">
        <v>43</v>
      </c>
    </row>
    <row r="153" spans="1:1" x14ac:dyDescent="0.3">
      <c r="A153">
        <v>44</v>
      </c>
    </row>
    <row r="154" spans="1:1" x14ac:dyDescent="0.3">
      <c r="A154">
        <v>45</v>
      </c>
    </row>
    <row r="155" spans="1:1" x14ac:dyDescent="0.3">
      <c r="A155">
        <v>46</v>
      </c>
    </row>
    <row r="156" spans="1:1" x14ac:dyDescent="0.3">
      <c r="A156">
        <v>47</v>
      </c>
    </row>
    <row r="157" spans="1:1" x14ac:dyDescent="0.3">
      <c r="A157">
        <v>48</v>
      </c>
    </row>
    <row r="158" spans="1:1" x14ac:dyDescent="0.3">
      <c r="A158">
        <v>49</v>
      </c>
    </row>
    <row r="159" spans="1:1" x14ac:dyDescent="0.3">
      <c r="A159">
        <v>50</v>
      </c>
    </row>
    <row r="160" spans="1:1" x14ac:dyDescent="0.3">
      <c r="A160">
        <v>51</v>
      </c>
    </row>
    <row r="161" spans="1:1" x14ac:dyDescent="0.3">
      <c r="A161">
        <v>52</v>
      </c>
    </row>
    <row r="162" spans="1:1" x14ac:dyDescent="0.3">
      <c r="A162">
        <v>53</v>
      </c>
    </row>
    <row r="163" spans="1:1" x14ac:dyDescent="0.3">
      <c r="A163">
        <v>54</v>
      </c>
    </row>
    <row r="164" spans="1:1" x14ac:dyDescent="0.3">
      <c r="A164">
        <v>55</v>
      </c>
    </row>
    <row r="165" spans="1:1" x14ac:dyDescent="0.3">
      <c r="A165">
        <v>56</v>
      </c>
    </row>
    <row r="166" spans="1:1" x14ac:dyDescent="0.3">
      <c r="A166">
        <v>57</v>
      </c>
    </row>
    <row r="167" spans="1:1" x14ac:dyDescent="0.3">
      <c r="A167">
        <v>58</v>
      </c>
    </row>
    <row r="168" spans="1:1" x14ac:dyDescent="0.3">
      <c r="A168">
        <v>59</v>
      </c>
    </row>
    <row r="169" spans="1:1" x14ac:dyDescent="0.3">
      <c r="A169">
        <v>60</v>
      </c>
    </row>
    <row r="170" spans="1:1" x14ac:dyDescent="0.3">
      <c r="A170">
        <v>61</v>
      </c>
    </row>
    <row r="171" spans="1:1" x14ac:dyDescent="0.3">
      <c r="A171">
        <v>62</v>
      </c>
    </row>
    <row r="172" spans="1:1" x14ac:dyDescent="0.3">
      <c r="A172">
        <v>63</v>
      </c>
    </row>
    <row r="173" spans="1:1" x14ac:dyDescent="0.3">
      <c r="A173">
        <v>64</v>
      </c>
    </row>
    <row r="174" spans="1:1" x14ac:dyDescent="0.3">
      <c r="A174">
        <v>65</v>
      </c>
    </row>
    <row r="175" spans="1:1" x14ac:dyDescent="0.3">
      <c r="A175">
        <v>66</v>
      </c>
    </row>
    <row r="176" spans="1:1" x14ac:dyDescent="0.3">
      <c r="A176">
        <v>67</v>
      </c>
    </row>
    <row r="177" spans="1:1" x14ac:dyDescent="0.3">
      <c r="A177">
        <v>68</v>
      </c>
    </row>
    <row r="178" spans="1:1" x14ac:dyDescent="0.3">
      <c r="A178">
        <v>69</v>
      </c>
    </row>
    <row r="179" spans="1:1" x14ac:dyDescent="0.3">
      <c r="A179">
        <v>70</v>
      </c>
    </row>
    <row r="180" spans="1:1" x14ac:dyDescent="0.3">
      <c r="A180">
        <v>71</v>
      </c>
    </row>
    <row r="181" spans="1:1" x14ac:dyDescent="0.3">
      <c r="A181">
        <v>72</v>
      </c>
    </row>
    <row r="182" spans="1:1" x14ac:dyDescent="0.3">
      <c r="A182">
        <v>73</v>
      </c>
    </row>
    <row r="183" spans="1:1" x14ac:dyDescent="0.3">
      <c r="A183">
        <v>74</v>
      </c>
    </row>
    <row r="184" spans="1:1" x14ac:dyDescent="0.3">
      <c r="A184">
        <v>75</v>
      </c>
    </row>
    <row r="185" spans="1:1" x14ac:dyDescent="0.3">
      <c r="A185">
        <v>76</v>
      </c>
    </row>
    <row r="186" spans="1:1" x14ac:dyDescent="0.3">
      <c r="A186">
        <v>77</v>
      </c>
    </row>
    <row r="187" spans="1:1" x14ac:dyDescent="0.3">
      <c r="A187">
        <v>78</v>
      </c>
    </row>
    <row r="188" spans="1:1" x14ac:dyDescent="0.3">
      <c r="A188">
        <v>79</v>
      </c>
    </row>
    <row r="189" spans="1:1" x14ac:dyDescent="0.3">
      <c r="A189">
        <v>80</v>
      </c>
    </row>
    <row r="190" spans="1:1" x14ac:dyDescent="0.3">
      <c r="A190">
        <v>81</v>
      </c>
    </row>
    <row r="191" spans="1:1" x14ac:dyDescent="0.3">
      <c r="A191">
        <v>82</v>
      </c>
    </row>
    <row r="192" spans="1:1" x14ac:dyDescent="0.3">
      <c r="A192">
        <v>83</v>
      </c>
    </row>
    <row r="193" spans="1:1" x14ac:dyDescent="0.3">
      <c r="A193">
        <v>84</v>
      </c>
    </row>
    <row r="194" spans="1:1" x14ac:dyDescent="0.3">
      <c r="A194">
        <v>85</v>
      </c>
    </row>
    <row r="195" spans="1:1" x14ac:dyDescent="0.3">
      <c r="A195">
        <v>86</v>
      </c>
    </row>
    <row r="196" spans="1:1" x14ac:dyDescent="0.3">
      <c r="A196">
        <v>87</v>
      </c>
    </row>
    <row r="197" spans="1:1" x14ac:dyDescent="0.3">
      <c r="A197">
        <v>88</v>
      </c>
    </row>
    <row r="198" spans="1:1" x14ac:dyDescent="0.3">
      <c r="A198">
        <v>89</v>
      </c>
    </row>
    <row r="199" spans="1:1" x14ac:dyDescent="0.3">
      <c r="A199">
        <v>90</v>
      </c>
    </row>
    <row r="200" spans="1:1" x14ac:dyDescent="0.3">
      <c r="A200">
        <v>91</v>
      </c>
    </row>
    <row r="201" spans="1:1" x14ac:dyDescent="0.3">
      <c r="A201">
        <v>92</v>
      </c>
    </row>
    <row r="202" spans="1:1" x14ac:dyDescent="0.3">
      <c r="A202">
        <v>93</v>
      </c>
    </row>
    <row r="203" spans="1:1" x14ac:dyDescent="0.3">
      <c r="A203">
        <v>94</v>
      </c>
    </row>
    <row r="204" spans="1:1" x14ac:dyDescent="0.3">
      <c r="A204">
        <v>95</v>
      </c>
    </row>
    <row r="205" spans="1:1" x14ac:dyDescent="0.3">
      <c r="A205">
        <v>96</v>
      </c>
    </row>
    <row r="206" spans="1:1" x14ac:dyDescent="0.3">
      <c r="A206">
        <v>97</v>
      </c>
    </row>
    <row r="207" spans="1:1" x14ac:dyDescent="0.3">
      <c r="A207">
        <v>98</v>
      </c>
    </row>
    <row r="208" spans="1:1" x14ac:dyDescent="0.3">
      <c r="A208">
        <v>99</v>
      </c>
    </row>
    <row r="209" spans="1:1" x14ac:dyDescent="0.3">
      <c r="A209">
        <v>100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W72"/>
  <sheetViews>
    <sheetView zoomScale="70" zoomScaleNormal="70" workbookViewId="0">
      <selection activeCell="E28" sqref="E28"/>
    </sheetView>
  </sheetViews>
  <sheetFormatPr baseColWidth="10" defaultRowHeight="14.4" x14ac:dyDescent="0.3"/>
  <cols>
    <col min="2" max="2" width="13.109375" bestFit="1" customWidth="1"/>
    <col min="5" max="5" width="8" bestFit="1" customWidth="1"/>
    <col min="6" max="6" width="15.5546875" bestFit="1" customWidth="1"/>
    <col min="7" max="7" width="17.6640625" bestFit="1" customWidth="1"/>
    <col min="8" max="8" width="11.44140625"/>
    <col min="9" max="9" width="17.5546875" customWidth="1"/>
    <col min="10" max="10" width="27.33203125" customWidth="1"/>
    <col min="11" max="11" width="11.6640625" bestFit="1" customWidth="1"/>
    <col min="12" max="12" width="8.88671875" bestFit="1" customWidth="1"/>
    <col min="13" max="13" width="14.33203125" bestFit="1" customWidth="1"/>
    <col min="14" max="14" width="14.33203125" customWidth="1"/>
    <col min="15" max="15" width="28.5546875" bestFit="1" customWidth="1"/>
    <col min="16" max="16" width="25.88671875" bestFit="1" customWidth="1"/>
    <col min="17" max="17" width="31.109375" bestFit="1" customWidth="1"/>
    <col min="18" max="18" width="18" bestFit="1" customWidth="1"/>
    <col min="19" max="19" width="12.109375" bestFit="1" customWidth="1"/>
    <col min="20" max="20" width="15.6640625" bestFit="1" customWidth="1"/>
  </cols>
  <sheetData>
    <row r="1" spans="1:23" s="3" customFormat="1" x14ac:dyDescent="0.3">
      <c r="A1" s="3" t="s">
        <v>15</v>
      </c>
      <c r="B1" s="3" t="s">
        <v>16</v>
      </c>
      <c r="C1" s="3" t="s">
        <v>53</v>
      </c>
      <c r="D1" s="3" t="s">
        <v>219</v>
      </c>
      <c r="E1" s="91" t="s">
        <v>7</v>
      </c>
      <c r="F1" s="91" t="s">
        <v>223</v>
      </c>
      <c r="G1" s="91" t="s">
        <v>224</v>
      </c>
      <c r="H1" s="91" t="s">
        <v>225</v>
      </c>
      <c r="I1" s="91"/>
      <c r="J1" s="91" t="s">
        <v>226</v>
      </c>
      <c r="K1" s="91" t="s">
        <v>227</v>
      </c>
      <c r="L1" s="91" t="s">
        <v>228</v>
      </c>
      <c r="M1" s="91" t="s">
        <v>229</v>
      </c>
      <c r="N1" s="91" t="s">
        <v>365</v>
      </c>
      <c r="O1" s="91" t="s">
        <v>11</v>
      </c>
      <c r="P1" s="91" t="s">
        <v>230</v>
      </c>
      <c r="Q1" s="91" t="s">
        <v>231</v>
      </c>
      <c r="R1" s="91" t="s">
        <v>232</v>
      </c>
      <c r="S1" s="91" t="s">
        <v>233</v>
      </c>
      <c r="T1" s="91" t="s">
        <v>234</v>
      </c>
      <c r="U1" s="91" t="s">
        <v>235</v>
      </c>
      <c r="V1" s="91"/>
      <c r="W1" s="91" t="s">
        <v>236</v>
      </c>
    </row>
    <row r="2" spans="1:23" x14ac:dyDescent="0.3">
      <c r="A2" t="s">
        <v>18</v>
      </c>
      <c r="B2" t="s">
        <v>20</v>
      </c>
      <c r="C2" t="s">
        <v>60</v>
      </c>
      <c r="D2" t="s">
        <v>220</v>
      </c>
      <c r="E2" t="s">
        <v>237</v>
      </c>
      <c r="F2" t="s">
        <v>470</v>
      </c>
      <c r="G2" t="s">
        <v>238</v>
      </c>
      <c r="H2" t="s">
        <v>239</v>
      </c>
      <c r="J2" t="s">
        <v>239</v>
      </c>
      <c r="K2">
        <v>1</v>
      </c>
      <c r="L2" t="s">
        <v>240</v>
      </c>
      <c r="M2" t="s">
        <v>241</v>
      </c>
      <c r="N2" t="s">
        <v>261</v>
      </c>
      <c r="O2" t="s">
        <v>242</v>
      </c>
      <c r="P2" t="s">
        <v>243</v>
      </c>
      <c r="Q2" t="s">
        <v>244</v>
      </c>
      <c r="R2" t="s">
        <v>245</v>
      </c>
      <c r="S2" t="s">
        <v>246</v>
      </c>
      <c r="T2" t="s">
        <v>247</v>
      </c>
      <c r="U2" t="s">
        <v>248</v>
      </c>
      <c r="W2" t="s">
        <v>249</v>
      </c>
    </row>
    <row r="3" spans="1:23" x14ac:dyDescent="0.3">
      <c r="A3" t="s">
        <v>19</v>
      </c>
      <c r="B3" t="s">
        <v>21</v>
      </c>
      <c r="C3" t="s">
        <v>54</v>
      </c>
      <c r="D3" t="s">
        <v>221</v>
      </c>
      <c r="E3" t="s">
        <v>222</v>
      </c>
      <c r="F3" t="s">
        <v>471</v>
      </c>
      <c r="G3" t="s">
        <v>250</v>
      </c>
      <c r="H3" s="92" t="s">
        <v>251</v>
      </c>
      <c r="J3" s="92" t="s">
        <v>251</v>
      </c>
      <c r="K3">
        <v>2</v>
      </c>
      <c r="L3" t="s">
        <v>252</v>
      </c>
      <c r="M3" t="s">
        <v>253</v>
      </c>
      <c r="N3" t="s">
        <v>268</v>
      </c>
      <c r="O3" t="s">
        <v>254</v>
      </c>
      <c r="P3" t="s">
        <v>255</v>
      </c>
      <c r="Q3" t="s">
        <v>256</v>
      </c>
      <c r="R3" t="s">
        <v>257</v>
      </c>
      <c r="S3" t="s">
        <v>49</v>
      </c>
      <c r="T3" t="s">
        <v>258</v>
      </c>
      <c r="U3" t="s">
        <v>259</v>
      </c>
      <c r="W3" t="s">
        <v>260</v>
      </c>
    </row>
    <row r="4" spans="1:23" x14ac:dyDescent="0.3">
      <c r="A4" t="s">
        <v>26</v>
      </c>
      <c r="B4" t="s">
        <v>22</v>
      </c>
      <c r="C4" t="s">
        <v>55</v>
      </c>
      <c r="D4" t="s">
        <v>217</v>
      </c>
      <c r="F4" t="s">
        <v>472</v>
      </c>
      <c r="H4" t="s">
        <v>479</v>
      </c>
      <c r="J4" t="s">
        <v>480</v>
      </c>
      <c r="K4">
        <v>0</v>
      </c>
      <c r="M4" t="s">
        <v>281</v>
      </c>
      <c r="N4" t="s">
        <v>273</v>
      </c>
      <c r="O4" t="s">
        <v>262</v>
      </c>
      <c r="P4" t="s">
        <v>263</v>
      </c>
      <c r="Q4" t="s">
        <v>264</v>
      </c>
      <c r="R4" t="s">
        <v>265</v>
      </c>
      <c r="S4" t="s">
        <v>266</v>
      </c>
      <c r="T4" t="s">
        <v>266</v>
      </c>
      <c r="U4" t="s">
        <v>267</v>
      </c>
    </row>
    <row r="5" spans="1:23" x14ac:dyDescent="0.3">
      <c r="C5" t="s">
        <v>56</v>
      </c>
      <c r="H5" t="s">
        <v>481</v>
      </c>
      <c r="J5" t="s">
        <v>482</v>
      </c>
      <c r="N5" t="s">
        <v>277</v>
      </c>
      <c r="O5" t="s">
        <v>269</v>
      </c>
      <c r="P5" t="s">
        <v>270</v>
      </c>
      <c r="S5" t="s">
        <v>271</v>
      </c>
      <c r="T5" t="s">
        <v>271</v>
      </c>
      <c r="U5" t="s">
        <v>272</v>
      </c>
    </row>
    <row r="6" spans="1:23" x14ac:dyDescent="0.3">
      <c r="C6" t="s">
        <v>57</v>
      </c>
      <c r="H6" t="s">
        <v>483</v>
      </c>
      <c r="J6" t="s">
        <v>484</v>
      </c>
      <c r="N6" t="s">
        <v>285</v>
      </c>
      <c r="O6" t="s">
        <v>274</v>
      </c>
      <c r="P6" t="s">
        <v>275</v>
      </c>
      <c r="U6" t="s">
        <v>276</v>
      </c>
    </row>
    <row r="7" spans="1:23" x14ac:dyDescent="0.3">
      <c r="C7" t="s">
        <v>58</v>
      </c>
      <c r="H7" t="s">
        <v>485</v>
      </c>
      <c r="J7" t="s">
        <v>486</v>
      </c>
      <c r="O7" t="s">
        <v>278</v>
      </c>
      <c r="P7" s="92" t="s">
        <v>279</v>
      </c>
      <c r="U7" t="s">
        <v>280</v>
      </c>
    </row>
    <row r="8" spans="1:23" x14ac:dyDescent="0.3">
      <c r="C8" t="s">
        <v>59</v>
      </c>
      <c r="H8" t="s">
        <v>487</v>
      </c>
      <c r="J8" t="s">
        <v>488</v>
      </c>
      <c r="O8" t="s">
        <v>282</v>
      </c>
      <c r="P8" t="s">
        <v>283</v>
      </c>
      <c r="U8" t="s">
        <v>284</v>
      </c>
    </row>
    <row r="9" spans="1:23" x14ac:dyDescent="0.3">
      <c r="H9" t="s">
        <v>489</v>
      </c>
      <c r="J9" t="s">
        <v>490</v>
      </c>
      <c r="P9" s="92" t="s">
        <v>251</v>
      </c>
      <c r="U9" t="s">
        <v>286</v>
      </c>
    </row>
    <row r="10" spans="1:23" x14ac:dyDescent="0.3">
      <c r="H10" t="s">
        <v>491</v>
      </c>
      <c r="J10" t="s">
        <v>492</v>
      </c>
      <c r="P10" t="s">
        <v>287</v>
      </c>
      <c r="U10" t="s">
        <v>288</v>
      </c>
    </row>
    <row r="11" spans="1:23" x14ac:dyDescent="0.3">
      <c r="H11" t="s">
        <v>493</v>
      </c>
      <c r="J11" t="s">
        <v>494</v>
      </c>
      <c r="P11" t="s">
        <v>289</v>
      </c>
      <c r="U11" t="s">
        <v>290</v>
      </c>
    </row>
    <row r="12" spans="1:23" x14ac:dyDescent="0.3">
      <c r="H12" s="92" t="s">
        <v>251</v>
      </c>
      <c r="J12" s="92" t="s">
        <v>251</v>
      </c>
      <c r="P12" t="s">
        <v>291</v>
      </c>
      <c r="U12" t="s">
        <v>292</v>
      </c>
    </row>
    <row r="13" spans="1:23" x14ac:dyDescent="0.3">
      <c r="H13" t="s">
        <v>495</v>
      </c>
      <c r="J13" t="s">
        <v>496</v>
      </c>
      <c r="P13" t="s">
        <v>293</v>
      </c>
      <c r="U13" t="s">
        <v>294</v>
      </c>
    </row>
    <row r="14" spans="1:23" x14ac:dyDescent="0.3">
      <c r="H14" t="s">
        <v>497</v>
      </c>
      <c r="J14" t="s">
        <v>498</v>
      </c>
      <c r="P14" t="s">
        <v>295</v>
      </c>
      <c r="U14" t="s">
        <v>296</v>
      </c>
    </row>
    <row r="15" spans="1:23" x14ac:dyDescent="0.3">
      <c r="H15" t="s">
        <v>499</v>
      </c>
      <c r="J15" t="s">
        <v>500</v>
      </c>
      <c r="P15" t="s">
        <v>297</v>
      </c>
      <c r="U15" t="s">
        <v>298</v>
      </c>
    </row>
    <row r="16" spans="1:23" x14ac:dyDescent="0.3">
      <c r="H16" s="92" t="s">
        <v>251</v>
      </c>
      <c r="J16" s="92" t="s">
        <v>251</v>
      </c>
      <c r="P16" t="s">
        <v>299</v>
      </c>
      <c r="U16" t="s">
        <v>300</v>
      </c>
    </row>
    <row r="17" spans="8:21" x14ac:dyDescent="0.3">
      <c r="H17" t="s">
        <v>501</v>
      </c>
      <c r="J17" t="s">
        <v>502</v>
      </c>
      <c r="P17" t="s">
        <v>301</v>
      </c>
      <c r="U17" t="s">
        <v>302</v>
      </c>
    </row>
    <row r="18" spans="8:21" x14ac:dyDescent="0.3">
      <c r="H18" t="s">
        <v>503</v>
      </c>
      <c r="J18" t="s">
        <v>504</v>
      </c>
      <c r="P18" s="92" t="s">
        <v>251</v>
      </c>
      <c r="U18" t="s">
        <v>303</v>
      </c>
    </row>
    <row r="19" spans="8:21" x14ac:dyDescent="0.3">
      <c r="H19" t="s">
        <v>505</v>
      </c>
      <c r="J19" t="s">
        <v>506</v>
      </c>
      <c r="P19" t="s">
        <v>304</v>
      </c>
      <c r="U19" t="s">
        <v>305</v>
      </c>
    </row>
    <row r="20" spans="8:21" x14ac:dyDescent="0.3">
      <c r="H20" t="s">
        <v>507</v>
      </c>
      <c r="J20" t="s">
        <v>508</v>
      </c>
      <c r="P20" t="s">
        <v>306</v>
      </c>
      <c r="U20" t="s">
        <v>307</v>
      </c>
    </row>
    <row r="21" spans="8:21" x14ac:dyDescent="0.3">
      <c r="H21" s="92" t="s">
        <v>251</v>
      </c>
      <c r="J21" s="92" t="s">
        <v>251</v>
      </c>
      <c r="P21" s="92" t="s">
        <v>251</v>
      </c>
      <c r="U21" t="s">
        <v>308</v>
      </c>
    </row>
    <row r="22" spans="8:21" x14ac:dyDescent="0.3">
      <c r="H22" t="s">
        <v>509</v>
      </c>
      <c r="J22" t="s">
        <v>510</v>
      </c>
      <c r="P22" t="s">
        <v>309</v>
      </c>
      <c r="U22" t="s">
        <v>310</v>
      </c>
    </row>
    <row r="23" spans="8:21" x14ac:dyDescent="0.3">
      <c r="H23" t="s">
        <v>511</v>
      </c>
      <c r="J23" t="s">
        <v>512</v>
      </c>
      <c r="P23" t="s">
        <v>311</v>
      </c>
      <c r="U23" t="s">
        <v>312</v>
      </c>
    </row>
    <row r="24" spans="8:21" x14ac:dyDescent="0.3">
      <c r="H24" t="s">
        <v>513</v>
      </c>
      <c r="J24" t="s">
        <v>514</v>
      </c>
      <c r="P24" t="s">
        <v>313</v>
      </c>
      <c r="U24" t="s">
        <v>314</v>
      </c>
    </row>
    <row r="25" spans="8:21" x14ac:dyDescent="0.3">
      <c r="H25" t="s">
        <v>515</v>
      </c>
      <c r="J25" t="s">
        <v>516</v>
      </c>
      <c r="P25" t="s">
        <v>315</v>
      </c>
      <c r="U25" t="s">
        <v>316</v>
      </c>
    </row>
    <row r="26" spans="8:21" x14ac:dyDescent="0.3">
      <c r="H26" t="s">
        <v>517</v>
      </c>
      <c r="J26" t="s">
        <v>518</v>
      </c>
      <c r="P26" s="92" t="s">
        <v>251</v>
      </c>
      <c r="U26" t="s">
        <v>317</v>
      </c>
    </row>
    <row r="27" spans="8:21" x14ac:dyDescent="0.3">
      <c r="H27" t="s">
        <v>519</v>
      </c>
      <c r="J27" t="s">
        <v>520</v>
      </c>
      <c r="P27" t="s">
        <v>318</v>
      </c>
      <c r="U27" t="s">
        <v>319</v>
      </c>
    </row>
    <row r="28" spans="8:21" x14ac:dyDescent="0.3">
      <c r="H28" s="92" t="s">
        <v>251</v>
      </c>
      <c r="J28" s="92" t="s">
        <v>251</v>
      </c>
      <c r="P28" t="s">
        <v>320</v>
      </c>
      <c r="U28" t="s">
        <v>321</v>
      </c>
    </row>
    <row r="29" spans="8:21" x14ac:dyDescent="0.3">
      <c r="H29" t="s">
        <v>480</v>
      </c>
      <c r="J29" t="s">
        <v>479</v>
      </c>
      <c r="P29" s="92" t="s">
        <v>251</v>
      </c>
      <c r="U29" t="s">
        <v>322</v>
      </c>
    </row>
    <row r="30" spans="8:21" x14ac:dyDescent="0.3">
      <c r="H30" t="s">
        <v>482</v>
      </c>
      <c r="J30" t="s">
        <v>481</v>
      </c>
      <c r="P30" t="s">
        <v>265</v>
      </c>
      <c r="U30" t="s">
        <v>323</v>
      </c>
    </row>
    <row r="31" spans="8:21" x14ac:dyDescent="0.3">
      <c r="H31" t="s">
        <v>484</v>
      </c>
      <c r="J31" t="s">
        <v>483</v>
      </c>
      <c r="P31" t="s">
        <v>264</v>
      </c>
      <c r="U31" t="s">
        <v>324</v>
      </c>
    </row>
    <row r="32" spans="8:21" x14ac:dyDescent="0.3">
      <c r="H32" t="s">
        <v>486</v>
      </c>
      <c r="J32" t="s">
        <v>485</v>
      </c>
      <c r="U32" t="s">
        <v>325</v>
      </c>
    </row>
    <row r="33" spans="8:21" x14ac:dyDescent="0.3">
      <c r="H33" t="s">
        <v>488</v>
      </c>
      <c r="J33" t="s">
        <v>487</v>
      </c>
      <c r="U33" t="s">
        <v>326</v>
      </c>
    </row>
    <row r="34" spans="8:21" x14ac:dyDescent="0.3">
      <c r="H34" t="s">
        <v>490</v>
      </c>
      <c r="J34" t="s">
        <v>489</v>
      </c>
      <c r="U34" t="s">
        <v>327</v>
      </c>
    </row>
    <row r="35" spans="8:21" x14ac:dyDescent="0.3">
      <c r="H35" t="s">
        <v>492</v>
      </c>
      <c r="J35" t="s">
        <v>491</v>
      </c>
      <c r="U35" t="s">
        <v>328</v>
      </c>
    </row>
    <row r="36" spans="8:21" x14ac:dyDescent="0.3">
      <c r="H36" t="s">
        <v>494</v>
      </c>
      <c r="J36" t="s">
        <v>493</v>
      </c>
      <c r="U36" t="s">
        <v>329</v>
      </c>
    </row>
    <row r="37" spans="8:21" x14ac:dyDescent="0.3">
      <c r="H37" s="92" t="s">
        <v>251</v>
      </c>
      <c r="J37" s="92" t="s">
        <v>251</v>
      </c>
      <c r="U37" s="92" t="s">
        <v>251</v>
      </c>
    </row>
    <row r="38" spans="8:21" x14ac:dyDescent="0.3">
      <c r="H38" t="s">
        <v>496</v>
      </c>
      <c r="J38" t="s">
        <v>495</v>
      </c>
      <c r="U38" t="s">
        <v>330</v>
      </c>
    </row>
    <row r="39" spans="8:21" x14ac:dyDescent="0.3">
      <c r="H39" t="s">
        <v>498</v>
      </c>
      <c r="J39" t="s">
        <v>497</v>
      </c>
      <c r="U39" t="s">
        <v>331</v>
      </c>
    </row>
    <row r="40" spans="8:21" x14ac:dyDescent="0.3">
      <c r="H40" t="s">
        <v>500</v>
      </c>
      <c r="J40" t="s">
        <v>499</v>
      </c>
      <c r="U40" t="s">
        <v>332</v>
      </c>
    </row>
    <row r="41" spans="8:21" x14ac:dyDescent="0.3">
      <c r="H41" s="92" t="s">
        <v>251</v>
      </c>
      <c r="J41" s="92" t="s">
        <v>251</v>
      </c>
      <c r="U41" t="s">
        <v>333</v>
      </c>
    </row>
    <row r="42" spans="8:21" x14ac:dyDescent="0.3">
      <c r="H42" t="s">
        <v>502</v>
      </c>
      <c r="J42" t="s">
        <v>501</v>
      </c>
      <c r="U42" t="s">
        <v>334</v>
      </c>
    </row>
    <row r="43" spans="8:21" x14ac:dyDescent="0.3">
      <c r="H43" t="s">
        <v>504</v>
      </c>
      <c r="J43" t="s">
        <v>503</v>
      </c>
      <c r="U43" t="s">
        <v>335</v>
      </c>
    </row>
    <row r="44" spans="8:21" x14ac:dyDescent="0.3">
      <c r="H44" t="s">
        <v>506</v>
      </c>
      <c r="J44" t="s">
        <v>505</v>
      </c>
      <c r="U44" t="s">
        <v>336</v>
      </c>
    </row>
    <row r="45" spans="8:21" x14ac:dyDescent="0.3">
      <c r="H45" t="s">
        <v>508</v>
      </c>
      <c r="J45" t="s">
        <v>507</v>
      </c>
      <c r="U45" t="s">
        <v>337</v>
      </c>
    </row>
    <row r="46" spans="8:21" x14ac:dyDescent="0.3">
      <c r="H46" s="92" t="s">
        <v>251</v>
      </c>
      <c r="J46" s="92" t="s">
        <v>251</v>
      </c>
      <c r="U46" t="s">
        <v>338</v>
      </c>
    </row>
    <row r="47" spans="8:21" x14ac:dyDescent="0.3">
      <c r="H47" t="s">
        <v>510</v>
      </c>
      <c r="J47" t="s">
        <v>509</v>
      </c>
      <c r="U47" t="s">
        <v>339</v>
      </c>
    </row>
    <row r="48" spans="8:21" x14ac:dyDescent="0.3">
      <c r="H48" t="s">
        <v>512</v>
      </c>
      <c r="J48" t="s">
        <v>511</v>
      </c>
      <c r="U48" t="s">
        <v>340</v>
      </c>
    </row>
    <row r="49" spans="8:21" x14ac:dyDescent="0.3">
      <c r="H49" t="s">
        <v>514</v>
      </c>
      <c r="J49" t="s">
        <v>513</v>
      </c>
      <c r="U49" t="s">
        <v>341</v>
      </c>
    </row>
    <row r="50" spans="8:21" x14ac:dyDescent="0.3">
      <c r="H50" t="s">
        <v>516</v>
      </c>
      <c r="J50" t="s">
        <v>515</v>
      </c>
      <c r="U50" t="s">
        <v>342</v>
      </c>
    </row>
    <row r="51" spans="8:21" x14ac:dyDescent="0.3">
      <c r="H51" t="s">
        <v>518</v>
      </c>
      <c r="J51" t="s">
        <v>517</v>
      </c>
      <c r="U51" t="s">
        <v>343</v>
      </c>
    </row>
    <row r="52" spans="8:21" x14ac:dyDescent="0.3">
      <c r="H52" t="s">
        <v>520</v>
      </c>
      <c r="J52" t="s">
        <v>519</v>
      </c>
      <c r="U52" t="s">
        <v>344</v>
      </c>
    </row>
    <row r="53" spans="8:21" x14ac:dyDescent="0.3">
      <c r="U53" t="s">
        <v>345</v>
      </c>
    </row>
    <row r="54" spans="8:21" x14ac:dyDescent="0.3">
      <c r="U54" t="s">
        <v>346</v>
      </c>
    </row>
    <row r="55" spans="8:21" x14ac:dyDescent="0.3">
      <c r="U55" t="s">
        <v>347</v>
      </c>
    </row>
    <row r="56" spans="8:21" x14ac:dyDescent="0.3">
      <c r="U56" t="s">
        <v>348</v>
      </c>
    </row>
    <row r="57" spans="8:21" x14ac:dyDescent="0.3">
      <c r="U57" t="s">
        <v>349</v>
      </c>
    </row>
    <row r="58" spans="8:21" x14ac:dyDescent="0.3">
      <c r="U58" t="s">
        <v>350</v>
      </c>
    </row>
    <row r="59" spans="8:21" x14ac:dyDescent="0.3">
      <c r="U59" t="s">
        <v>351</v>
      </c>
    </row>
    <row r="60" spans="8:21" x14ac:dyDescent="0.3">
      <c r="U60" t="s">
        <v>352</v>
      </c>
    </row>
    <row r="61" spans="8:21" x14ac:dyDescent="0.3">
      <c r="U61" t="s">
        <v>353</v>
      </c>
    </row>
    <row r="62" spans="8:21" x14ac:dyDescent="0.3">
      <c r="U62" t="s">
        <v>354</v>
      </c>
    </row>
    <row r="63" spans="8:21" x14ac:dyDescent="0.3">
      <c r="U63" t="s">
        <v>355</v>
      </c>
    </row>
    <row r="64" spans="8:21" x14ac:dyDescent="0.3">
      <c r="U64" t="s">
        <v>356</v>
      </c>
    </row>
    <row r="65" spans="21:21" x14ac:dyDescent="0.3">
      <c r="U65" t="s">
        <v>357</v>
      </c>
    </row>
    <row r="66" spans="21:21" x14ac:dyDescent="0.3">
      <c r="U66" t="s">
        <v>358</v>
      </c>
    </row>
    <row r="67" spans="21:21" x14ac:dyDescent="0.3">
      <c r="U67" t="s">
        <v>359</v>
      </c>
    </row>
    <row r="68" spans="21:21" x14ac:dyDescent="0.3">
      <c r="U68" t="s">
        <v>360</v>
      </c>
    </row>
    <row r="69" spans="21:21" x14ac:dyDescent="0.3">
      <c r="U69" t="s">
        <v>361</v>
      </c>
    </row>
    <row r="70" spans="21:21" x14ac:dyDescent="0.3">
      <c r="U70" t="s">
        <v>362</v>
      </c>
    </row>
    <row r="71" spans="21:21" x14ac:dyDescent="0.3">
      <c r="U71" t="s">
        <v>363</v>
      </c>
    </row>
    <row r="72" spans="21:21" x14ac:dyDescent="0.3">
      <c r="U72" t="s">
        <v>364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32</vt:i4>
      </vt:variant>
    </vt:vector>
  </HeadingPairs>
  <TitlesOfParts>
    <vt:vector size="46" baseType="lpstr">
      <vt:lpstr>Protocole</vt:lpstr>
      <vt:lpstr>Compte-rendu</vt:lpstr>
      <vt:lpstr>Observations et Qualité</vt:lpstr>
      <vt:lpstr>Evidence (0)</vt:lpstr>
      <vt:lpstr>Evidence (1)</vt:lpstr>
      <vt:lpstr>Evidence (2)</vt:lpstr>
      <vt:lpstr>Légendes</vt:lpstr>
      <vt:lpstr>Examen (0)</vt:lpstr>
      <vt:lpstr>Examen (1)</vt:lpstr>
      <vt:lpstr>Examen (2)</vt:lpstr>
      <vt:lpstr>Examen (3)</vt:lpstr>
      <vt:lpstr>Examen - data (1)</vt:lpstr>
      <vt:lpstr>Examen - norm (1)</vt:lpstr>
      <vt:lpstr>listes</vt:lpstr>
      <vt:lpstr>Cote</vt:lpstr>
      <vt:lpstr>Effet_sur_marche</vt:lpstr>
      <vt:lpstr>EMG_droit</vt:lpstr>
      <vt:lpstr>EMG_gauche</vt:lpstr>
      <vt:lpstr>Equipe</vt:lpstr>
      <vt:lpstr>Evidence</vt:lpstr>
      <vt:lpstr>Genre</vt:lpstr>
      <vt:lpstr>Groupe</vt:lpstr>
      <vt:lpstr>Liste_muscles</vt:lpstr>
      <vt:lpstr>Medecins</vt:lpstr>
      <vt:lpstr>Membre</vt:lpstr>
      <vt:lpstr>Modele</vt:lpstr>
      <vt:lpstr>Motif</vt:lpstr>
      <vt:lpstr>Operateurs</vt:lpstr>
      <vt:lpstr>Oui_non</vt:lpstr>
      <vt:lpstr>Pathologie</vt:lpstr>
      <vt:lpstr>Plateformes</vt:lpstr>
      <vt:lpstr>Sensibilte</vt:lpstr>
      <vt:lpstr>Systeme</vt:lpstr>
      <vt:lpstr>Terrain_de_marche</vt:lpstr>
      <vt:lpstr>Type_accident</vt:lpstr>
      <vt:lpstr>Type_pathologie</vt:lpstr>
      <vt:lpstr>'Compte-rendu'!Zone_d_impression</vt:lpstr>
      <vt:lpstr>'Evidence (0)'!Zone_d_impression</vt:lpstr>
      <vt:lpstr>'Evidence (1)'!Zone_d_impression</vt:lpstr>
      <vt:lpstr>'Evidence (2)'!Zone_d_impression</vt:lpstr>
      <vt:lpstr>'Examen (0)'!Zone_d_impression</vt:lpstr>
      <vt:lpstr>'Examen (1)'!Zone_d_impression</vt:lpstr>
      <vt:lpstr>'Examen (2)'!Zone_d_impression</vt:lpstr>
      <vt:lpstr>'Examen (3)'!Zone_d_impression</vt:lpstr>
      <vt:lpstr>Légendes!Zone_d_impression</vt:lpstr>
      <vt:lpstr>'Observations et Qualité'!Zone_d_impression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Moissenet Florent</dc:creator>
  <cp:lastModifiedBy>Moissenet Florent</cp:lastModifiedBy>
  <cp:lastPrinted>2018-05-03T10:43:01Z</cp:lastPrinted>
  <dcterms:created xsi:type="dcterms:W3CDTF">2017-11-28T07:32:02Z</dcterms:created>
  <dcterms:modified xsi:type="dcterms:W3CDTF">2019-04-23T12:08:31Z</dcterms:modified>
</cp:coreProperties>
</file>